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:\YongShi\S_数据表\"/>
    </mc:Choice>
  </mc:AlternateContent>
  <xr:revisionPtr revIDLastSave="0" documentId="13_ncr:1_{B82D498B-CBBF-4BCC-87CA-020D01BFA3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28" i="1" l="1"/>
  <c r="A29" i="1" s="1"/>
  <c r="A23" i="1"/>
  <c r="A24" i="1" s="1"/>
  <c r="A25" i="1" s="1"/>
  <c r="A20" i="1"/>
  <c r="A21" i="1" s="1"/>
  <c r="A17" i="1"/>
  <c r="A16" i="1"/>
  <c r="A13" i="1"/>
  <c r="A14" i="1" s="1"/>
  <c r="A15" i="1" s="1"/>
  <c r="A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" authorId="0" shapeId="0" xr:uid="{00000000-0006-0000-0000-000001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0</t>
        </r>
        <r>
          <rPr>
            <sz val="9"/>
            <rFont val="宋体"/>
            <family val="3"/>
            <charset val="134"/>
          </rPr>
          <t xml:space="preserve">为显示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为不现实配合多行数据显示调用</t>
        </r>
      </text>
    </comment>
  </commentList>
</comments>
</file>

<file path=xl/sharedStrings.xml><?xml version="1.0" encoding="utf-8"?>
<sst xmlns="http://schemas.openxmlformats.org/spreadsheetml/2006/main" count="507" uniqueCount="276">
  <si>
    <t>ID</t>
  </si>
  <si>
    <t>套装名称</t>
  </si>
  <si>
    <t>是否显示套装件数</t>
  </si>
  <si>
    <t>血量</t>
  </si>
  <si>
    <t>最低攻击</t>
  </si>
  <si>
    <t>最高攻击</t>
  </si>
  <si>
    <t>最低防御</t>
  </si>
  <si>
    <t>最高防御</t>
  </si>
  <si>
    <t>暴击</t>
  </si>
  <si>
    <t>命中</t>
  </si>
  <si>
    <t>闪避</t>
  </si>
  <si>
    <t>伤害加成</t>
  </si>
  <si>
    <t>伤害减免</t>
  </si>
  <si>
    <t>速度</t>
  </si>
  <si>
    <t>幸运值</t>
  </si>
  <si>
    <t>套装附加技能</t>
  </si>
  <si>
    <t>附加</t>
  </si>
  <si>
    <t>int</t>
  </si>
  <si>
    <t>string</t>
  </si>
  <si>
    <t>all</t>
  </si>
  <si>
    <t>EquipSuitName</t>
  </si>
  <si>
    <t>EquipSuitDes</t>
  </si>
  <si>
    <t>ifShowSuitNum</t>
  </si>
  <si>
    <t>Equip_Hp</t>
  </si>
  <si>
    <t>Equip_MinAct</t>
  </si>
  <si>
    <t>Equip_MaxAct</t>
  </si>
  <si>
    <t>Equip_MinMagAct</t>
  </si>
  <si>
    <t>Equip_MaxMagAct</t>
  </si>
  <si>
    <t>Equip_MinDef</t>
  </si>
  <si>
    <t>Equip_MaxDef</t>
  </si>
  <si>
    <t>Equip_MinAdf</t>
  </si>
  <si>
    <t>Equip_MaxAdf</t>
  </si>
  <si>
    <t>Equip_Cri</t>
  </si>
  <si>
    <t>Equip_Hit</t>
  </si>
  <si>
    <t>Equip_Dodge</t>
  </si>
  <si>
    <t>Equip_DamgeAdd</t>
  </si>
  <si>
    <t>Equip_DamgeSub</t>
  </si>
  <si>
    <t>Equip_Speed</t>
  </si>
  <si>
    <t>Equip_Lucky</t>
  </si>
  <si>
    <t>EquipSuitSkillID</t>
  </si>
  <si>
    <t>AddPropreListStr</t>
  </si>
  <si>
    <t>魔钢套装</t>
  </si>
  <si>
    <t>攻击+20  暴击率+3%</t>
  </si>
  <si>
    <t>魔纹套装1</t>
  </si>
  <si>
    <t>命中率+5%</t>
  </si>
  <si>
    <t>物防+10 魔防+10</t>
  </si>
  <si>
    <t>魔纹套装2</t>
  </si>
  <si>
    <t>血量:150  伤害减免+3%</t>
  </si>
  <si>
    <t>怨灵套装</t>
  </si>
  <si>
    <t>攻击+30</t>
  </si>
  <si>
    <t>试炼套装</t>
  </si>
  <si>
    <t>暴击概率+3%</t>
  </si>
  <si>
    <t>英勇套装1</t>
  </si>
  <si>
    <t>受到伤害减免5%</t>
  </si>
  <si>
    <t>英勇套装2</t>
  </si>
  <si>
    <t>攻击+20</t>
  </si>
  <si>
    <t>暴击率+5%</t>
  </si>
  <si>
    <t>伤害加成+5%</t>
  </si>
  <si>
    <t>英勇套装3</t>
  </si>
  <si>
    <t>英勇套装4</t>
  </si>
  <si>
    <t>荣耀套装</t>
  </si>
  <si>
    <t>重击概率+5% 重击伤害+300点</t>
  </si>
  <si>
    <t>111,0.05;112,300</t>
  </si>
  <si>
    <t>碧蓝套装</t>
  </si>
  <si>
    <t>掠夺者套装</t>
  </si>
  <si>
    <t>攻击+25</t>
  </si>
  <si>
    <t>长者套装</t>
  </si>
  <si>
    <t>暴击率+3%</t>
  </si>
  <si>
    <t>信徒套装</t>
  </si>
  <si>
    <t>物防+15 魔防+15</t>
  </si>
  <si>
    <t>屠戮者套装</t>
  </si>
  <si>
    <t>受到伤害减免+5%</t>
  </si>
  <si>
    <t>海神套装</t>
  </si>
  <si>
    <t>攻击+35</t>
  </si>
  <si>
    <t>伤害加成5%</t>
  </si>
  <si>
    <t>生命+300,闪避率+5%</t>
  </si>
  <si>
    <t>海度丝套装</t>
  </si>
  <si>
    <t>经验加成+5%</t>
  </si>
  <si>
    <t>401,0.05</t>
  </si>
  <si>
    <t>侍卫长套装</t>
  </si>
  <si>
    <t>攻击+45</t>
  </si>
  <si>
    <t>冥骨套装</t>
  </si>
  <si>
    <t>精铸套装</t>
  </si>
  <si>
    <t>闪避率+5%</t>
  </si>
  <si>
    <t>修行者套装</t>
  </si>
  <si>
    <t>攻击+40</t>
  </si>
  <si>
    <t>阳炎套装</t>
  </si>
  <si>
    <t>暴击+5%</t>
  </si>
  <si>
    <t>莎兰套装</t>
  </si>
  <si>
    <t>漠灵套装</t>
  </si>
  <si>
    <t>攻击+50</t>
  </si>
  <si>
    <t>生命+300</t>
  </si>
  <si>
    <t>瓦尔套装</t>
  </si>
  <si>
    <t>伤害加成+10%</t>
  </si>
  <si>
    <t>奥秘套装</t>
  </si>
  <si>
    <t>纯洁套装</t>
  </si>
  <si>
    <t>攻击+60</t>
  </si>
  <si>
    <t>幻灵套装</t>
  </si>
  <si>
    <t>攻击+150</t>
  </si>
  <si>
    <t>执法者套装</t>
  </si>
  <si>
    <t>光辉套装</t>
  </si>
  <si>
    <t>伤害加成2%</t>
  </si>
  <si>
    <t>伤害加成3%</t>
  </si>
  <si>
    <t>塔卢斯套装</t>
  </si>
  <si>
    <t>格挡值+300点</t>
  </si>
  <si>
    <t>心爱套装</t>
  </si>
  <si>
    <t>伤害减免+5%</t>
  </si>
  <si>
    <t>野蛮人套装</t>
  </si>
  <si>
    <t>蜘蛛套装</t>
  </si>
  <si>
    <t>降魔套装</t>
  </si>
  <si>
    <t>攻击+200</t>
  </si>
  <si>
    <t>骑士套装</t>
  </si>
  <si>
    <t>神圣套装</t>
  </si>
  <si>
    <t>攻击+75</t>
  </si>
  <si>
    <t>伤害加成5%  暴击+5%</t>
  </si>
  <si>
    <t>圣光套装1_3</t>
  </si>
  <si>
    <t>圣光套装2_2</t>
  </si>
  <si>
    <t>圣光套装2_3</t>
  </si>
  <si>
    <t>圣光套装2_4</t>
  </si>
  <si>
    <t>圣光套装3_2</t>
  </si>
  <si>
    <t>圣光套装4_3</t>
  </si>
  <si>
    <t>101,300</t>
    <phoneticPr fontId="11" type="noConversion"/>
  </si>
  <si>
    <t>物防+10 魔防+10</t>
    <phoneticPr fontId="11" type="noConversion"/>
  </si>
  <si>
    <t>Valor</t>
    <phoneticPr fontId="11" type="noConversion"/>
  </si>
  <si>
    <t>Bold</t>
    <phoneticPr fontId="11" type="noConversion"/>
  </si>
  <si>
    <t>Wrath</t>
    <phoneticPr fontId="11" type="noConversion"/>
  </si>
  <si>
    <t>Might</t>
    <phoneticPr fontId="11" type="noConversion"/>
  </si>
  <si>
    <t>Heroism</t>
    <phoneticPr fontId="11" type="noConversion"/>
  </si>
  <si>
    <t>Dreadnaught</t>
    <phoneticPr fontId="11" type="noConversion"/>
  </si>
  <si>
    <t>Honour</t>
    <phoneticPr fontId="11" type="noConversion"/>
  </si>
  <si>
    <t>Warbringer</t>
    <phoneticPr fontId="11" type="noConversion"/>
  </si>
  <si>
    <t>Magister</t>
    <phoneticPr fontId="11" type="noConversion"/>
  </si>
  <si>
    <t>Devout</t>
    <phoneticPr fontId="11" type="noConversion"/>
  </si>
  <si>
    <t>Destroyer</t>
    <phoneticPr fontId="11" type="noConversion"/>
  </si>
  <si>
    <t>Poseidon</t>
    <phoneticPr fontId="11" type="noConversion"/>
  </si>
  <si>
    <t>Striker</t>
    <phoneticPr fontId="11" type="noConversion"/>
  </si>
  <si>
    <t>Soulforge</t>
    <phoneticPr fontId="11" type="noConversion"/>
  </si>
  <si>
    <t>Hydross</t>
    <phoneticPr fontId="11" type="noConversion"/>
  </si>
  <si>
    <t>Crystalforge</t>
    <phoneticPr fontId="11" type="noConversion"/>
  </si>
  <si>
    <t>Nemesis</t>
    <phoneticPr fontId="11" type="noConversion"/>
  </si>
  <si>
    <t>Lightforge</t>
    <phoneticPr fontId="11" type="noConversion"/>
  </si>
  <si>
    <t>Syaran</t>
    <phoneticPr fontId="11" type="noConversion"/>
  </si>
  <si>
    <t>Desolation</t>
    <phoneticPr fontId="11" type="noConversion"/>
  </si>
  <si>
    <t>Val</t>
    <phoneticPr fontId="11" type="noConversion"/>
  </si>
  <si>
    <t>Enigma</t>
    <phoneticPr fontId="11" type="noConversion"/>
  </si>
  <si>
    <t>Chaste</t>
    <phoneticPr fontId="11" type="noConversion"/>
  </si>
  <si>
    <t>Prophecy</t>
    <phoneticPr fontId="11" type="noConversion"/>
  </si>
  <si>
    <t>Justicar</t>
    <phoneticPr fontId="11" type="noConversion"/>
  </si>
  <si>
    <t>Judgement</t>
    <phoneticPr fontId="11" type="noConversion"/>
  </si>
  <si>
    <t>Talus</t>
    <phoneticPr fontId="11" type="noConversion"/>
  </si>
  <si>
    <t>love</t>
    <phoneticPr fontId="11" type="noConversion"/>
  </si>
  <si>
    <t>Wildheart</t>
    <phoneticPr fontId="11" type="noConversion"/>
  </si>
  <si>
    <t>Spider</t>
    <phoneticPr fontId="11" type="noConversion"/>
  </si>
  <si>
    <t>Redemption</t>
    <phoneticPr fontId="11" type="noConversion"/>
  </si>
  <si>
    <t>Knight</t>
    <phoneticPr fontId="11" type="noConversion"/>
  </si>
  <si>
    <t>Lawbringer</t>
    <phoneticPr fontId="11" type="noConversion"/>
  </si>
  <si>
    <t>Lightbringer</t>
  </si>
  <si>
    <t>Attack+20，critical+3%</t>
  </si>
  <si>
    <t>Attack Rating +5%</t>
  </si>
  <si>
    <t>DEF+10，RES+10</t>
  </si>
  <si>
    <t>HP+150,Damage reduction+3%</t>
  </si>
  <si>
    <t>Attack+30</t>
  </si>
  <si>
    <t>critical+3%</t>
  </si>
  <si>
    <t>Damage reduction+5%</t>
  </si>
  <si>
    <t>Attack+20</t>
  </si>
  <si>
    <t>Enhanced Damage+5%</t>
  </si>
  <si>
    <t>Heavy Hit+5%,HT Damage+300</t>
  </si>
  <si>
    <t>Attack+25</t>
  </si>
  <si>
    <t>DEF+15，RES+15</t>
  </si>
  <si>
    <t>critical+5%</t>
  </si>
  <si>
    <t>Attack+35</t>
  </si>
  <si>
    <t>HP+150,Evasion rate  +3%</t>
  </si>
  <si>
    <t>exp+5%</t>
  </si>
  <si>
    <t>Attack+45</t>
  </si>
  <si>
    <t>Evasion rate+5%</t>
  </si>
  <si>
    <t>Attack+40</t>
  </si>
  <si>
    <t>Attack+50</t>
  </si>
  <si>
    <t>HP+300</t>
  </si>
  <si>
    <t>Enhanced Damage+10%</t>
  </si>
  <si>
    <t>Attack+60</t>
  </si>
  <si>
    <t>Attack+150</t>
  </si>
  <si>
    <t>Enhanced Damage+2%</t>
  </si>
  <si>
    <t>Enhanced Damage+3%</t>
  </si>
  <si>
    <t>Block Value+300</t>
  </si>
  <si>
    <t>Attack+200</t>
  </si>
  <si>
    <t>Attack+75</t>
  </si>
  <si>
    <t>Enhanced Damage+5%,critical+5%</t>
  </si>
  <si>
    <t>EquipSuitName_EN</t>
    <phoneticPr fontId="11" type="noConversion"/>
  </si>
  <si>
    <t>EquipSuitDes_EN</t>
    <phoneticPr fontId="11" type="noConversion"/>
  </si>
  <si>
    <t>攻击+400</t>
    <phoneticPr fontId="11" type="noConversion"/>
  </si>
  <si>
    <t>物防：50-80  受到伤害减免5%</t>
    <phoneticPr fontId="11" type="noConversion"/>
  </si>
  <si>
    <t>魔防：50-80  伤害加成5%</t>
    <phoneticPr fontId="11" type="noConversion"/>
  </si>
  <si>
    <t>Enhanced Damage+5%</t>
    <phoneticPr fontId="11" type="noConversion"/>
  </si>
  <si>
    <t>生肖套装1</t>
    <phoneticPr fontId="11" type="noConversion"/>
  </si>
  <si>
    <t>攻击80-80 攻击穿透+1%</t>
    <phoneticPr fontId="11" type="noConversion"/>
  </si>
  <si>
    <t>法术强度提升80 魔法穿透+1%</t>
    <phoneticPr fontId="11" type="noConversion"/>
  </si>
  <si>
    <t>50,0.01</t>
    <phoneticPr fontId="11" type="noConversion"/>
  </si>
  <si>
    <t>133,0.01</t>
    <phoneticPr fontId="11" type="noConversion"/>
  </si>
  <si>
    <t>134,0.01</t>
    <phoneticPr fontId="11" type="noConversion"/>
  </si>
  <si>
    <t>133,0.02</t>
    <phoneticPr fontId="11" type="noConversion"/>
  </si>
  <si>
    <t>134,0.02</t>
    <phoneticPr fontId="11" type="noConversion"/>
  </si>
  <si>
    <t>50,0.02</t>
    <phoneticPr fontId="11" type="noConversion"/>
  </si>
  <si>
    <t>133,0.03</t>
    <phoneticPr fontId="11" type="noConversion"/>
  </si>
  <si>
    <t>134,0.03</t>
    <phoneticPr fontId="11" type="noConversion"/>
  </si>
  <si>
    <t>50,0.03</t>
    <phoneticPr fontId="11" type="noConversion"/>
  </si>
  <si>
    <t>133,0.04</t>
    <phoneticPr fontId="11" type="noConversion"/>
  </si>
  <si>
    <t>134,0.04</t>
    <phoneticPr fontId="11" type="noConversion"/>
  </si>
  <si>
    <t>50,0.04</t>
    <phoneticPr fontId="11" type="noConversion"/>
  </si>
  <si>
    <t>133,0.05</t>
    <phoneticPr fontId="11" type="noConversion"/>
  </si>
  <si>
    <t>134,0.05</t>
    <phoneticPr fontId="11" type="noConversion"/>
  </si>
  <si>
    <t>50,0.05</t>
    <phoneticPr fontId="11" type="noConversion"/>
  </si>
  <si>
    <t>攻击120-120 攻击穿透+2%</t>
    <phoneticPr fontId="11" type="noConversion"/>
  </si>
  <si>
    <t>法术强度提升120 魔法穿透+2%</t>
    <phoneticPr fontId="11" type="noConversion"/>
  </si>
  <si>
    <t>血量+540 血量上限+2%</t>
    <phoneticPr fontId="11" type="noConversion"/>
  </si>
  <si>
    <t>血量+360 血量上限+1%</t>
    <phoneticPr fontId="11" type="noConversion"/>
  </si>
  <si>
    <t>攻击160-160 攻击穿透+3%</t>
    <phoneticPr fontId="11" type="noConversion"/>
  </si>
  <si>
    <t>法术强度提升160 魔法穿透+3%</t>
    <phoneticPr fontId="11" type="noConversion"/>
  </si>
  <si>
    <t>血量+720 血量上限+3%</t>
    <phoneticPr fontId="11" type="noConversion"/>
  </si>
  <si>
    <t>攻击200-200 攻击穿透+4%</t>
    <phoneticPr fontId="11" type="noConversion"/>
  </si>
  <si>
    <t>法术强度提升200 魔法穿透+4%</t>
    <phoneticPr fontId="11" type="noConversion"/>
  </si>
  <si>
    <t>血量+900 血量上限+4%</t>
    <phoneticPr fontId="11" type="noConversion"/>
  </si>
  <si>
    <t>血量+1080 血量上限+5%</t>
    <phoneticPr fontId="11" type="noConversion"/>
  </si>
  <si>
    <t>攻击240-240 攻击穿透+5%</t>
    <phoneticPr fontId="11" type="noConversion"/>
  </si>
  <si>
    <t>法术强度提升240 魔法穿透+5%</t>
    <phoneticPr fontId="11" type="noConversion"/>
  </si>
  <si>
    <t>物防：80-120  受到伤害减免5%</t>
    <phoneticPr fontId="11" type="noConversion"/>
  </si>
  <si>
    <t>魔防：80-120  伤害加成5%</t>
    <phoneticPr fontId="11" type="noConversion"/>
  </si>
  <si>
    <t>攻击+120 命中率+5%</t>
    <phoneticPr fontId="11" type="noConversion"/>
  </si>
  <si>
    <t>攻击+120 暴击+5%</t>
    <phoneticPr fontId="11" type="noConversion"/>
  </si>
  <si>
    <t>攻击+520</t>
    <phoneticPr fontId="11" type="noConversion"/>
  </si>
  <si>
    <t>133,0.06</t>
    <phoneticPr fontId="11" type="noConversion"/>
  </si>
  <si>
    <t>134,0.06</t>
    <phoneticPr fontId="11" type="noConversion"/>
  </si>
  <si>
    <t>50,0.06</t>
    <phoneticPr fontId="11" type="noConversion"/>
  </si>
  <si>
    <t>攻击320-320 攻击穿透+6%</t>
    <phoneticPr fontId="11" type="noConversion"/>
  </si>
  <si>
    <t>法术强度提升320 魔法穿透+6%</t>
    <phoneticPr fontId="11" type="noConversion"/>
  </si>
  <si>
    <t>血量+1440 血量上限+6%</t>
    <phoneticPr fontId="11" type="noConversion"/>
  </si>
  <si>
    <t>不朽套装1_3</t>
  </si>
  <si>
    <t>不朽套装2_2</t>
  </si>
  <si>
    <t>不朽套装2_3</t>
  </si>
  <si>
    <t>不朽套装2_4</t>
  </si>
  <si>
    <t>不朽套装3_2</t>
  </si>
  <si>
    <t>不朽套装4_3</t>
  </si>
  <si>
    <t>攻击+180 命中率+5%</t>
    <phoneticPr fontId="11" type="noConversion"/>
  </si>
  <si>
    <t>Attack+180 Rating +5%</t>
    <phoneticPr fontId="11" type="noConversion"/>
  </si>
  <si>
    <t>Attack+520</t>
    <phoneticPr fontId="11" type="noConversion"/>
  </si>
  <si>
    <t>Attack+120 critical+5%</t>
    <phoneticPr fontId="11" type="noConversion"/>
  </si>
  <si>
    <t>攻击+640</t>
    <phoneticPr fontId="11" type="noConversion"/>
  </si>
  <si>
    <t>Attack+640</t>
    <phoneticPr fontId="11" type="noConversion"/>
  </si>
  <si>
    <t>攻击+180 暴击+5%</t>
    <phoneticPr fontId="11" type="noConversion"/>
  </si>
  <si>
    <t>Attack+180 Critical+5%</t>
    <phoneticPr fontId="11" type="noConversion"/>
  </si>
  <si>
    <t>物防：120-180  受到伤害减免5%</t>
    <phoneticPr fontId="11" type="noConversion"/>
  </si>
  <si>
    <t>魔防：120-180  伤害加成5%</t>
    <phoneticPr fontId="11" type="noConversion"/>
  </si>
  <si>
    <t>DEF+120-180，Damage reduction+5%</t>
    <phoneticPr fontId="11" type="noConversion"/>
  </si>
  <si>
    <t>DEF+80-120 Damage reduction+5%</t>
    <phoneticPr fontId="11" type="noConversion"/>
  </si>
  <si>
    <t>Enhanced Damage+5% critical+5%</t>
    <phoneticPr fontId="11" type="noConversion"/>
  </si>
  <si>
    <t>Enhanced Damage+5% Critical+5%</t>
    <phoneticPr fontId="11" type="noConversion"/>
  </si>
  <si>
    <t>Critical+5%</t>
    <phoneticPr fontId="11" type="noConversion"/>
  </si>
  <si>
    <t>Attack+400</t>
    <phoneticPr fontId="11" type="noConversion"/>
  </si>
  <si>
    <t>DEF+50-80，Damage reduction+5%</t>
    <phoneticPr fontId="11" type="noConversion"/>
  </si>
  <si>
    <t>ATK:80-80, PhyPen +1%</t>
  </si>
  <si>
    <t>SP +80, MagPen +1%</t>
  </si>
  <si>
    <t>HP +360, MaxHP +1%</t>
  </si>
  <si>
    <t>ATK:120-120, PhyPen +2%</t>
  </si>
  <si>
    <t>SP +120, MagPen +2%</t>
  </si>
  <si>
    <t>HP +540, MaxHP +2%</t>
  </si>
  <si>
    <t>ATK:160-160, PhyPen +3%</t>
  </si>
  <si>
    <t>SP +160, MagPen +3%</t>
  </si>
  <si>
    <t>HP +720, MaxHP +3%</t>
  </si>
  <si>
    <t>ATK:200-200, PhyPen +4%</t>
  </si>
  <si>
    <t>SP +200, MagPen +4%</t>
  </si>
  <si>
    <t>HP +900, MaxHP +4%</t>
  </si>
  <si>
    <t>ATK:240-240, PhyPen +5%</t>
  </si>
  <si>
    <t>SP +240, MagPen +5%</t>
  </si>
  <si>
    <t>HP +1080, MaxHP +5%</t>
  </si>
  <si>
    <t>ATK:320-320, PhyPen +6%</t>
  </si>
  <si>
    <t>SP +320, MagPen +6%</t>
  </si>
  <si>
    <t>HP +1440, MaxHP +6%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</si>
</sst>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thin">
        <color theme="4" tint="0.39997558519241921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hair">
        <color theme="1" tint="0.499984740745262"/>
      </bottom>
      <diagonal/>
    </border>
  </borders>
  <cellStyleXfs count="2">
    <xf numFmtId="0" fontId="0" fillId="0" borderId="0"/>
    <xf numFmtId="0" fontId="9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3" fontId="5" fillId="3" borderId="4" xfId="0" quotePrefix="1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/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/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X6" totalsRowShown="0">
  <autoFilter ref="A5:X6" xr:uid="{00000000-0009-0000-0100-000001000000}"/>
  <tableColumns count="24">
    <tableColumn id="1" xr3:uid="{00000000-0010-0000-0000-000001000000}" name="ID"/>
    <tableColumn id="2" xr3:uid="{00000000-0010-0000-0000-000002000000}" name="EquipSuitName"/>
    <tableColumn id="23" xr3:uid="{00000000-0010-0000-0000-000017000000}" name="EquipSuitName_EN" dataDxfId="1"/>
    <tableColumn id="3" xr3:uid="{00000000-0010-0000-0000-000003000000}" name="EquipSuitDes"/>
    <tableColumn id="24" xr3:uid="{00000000-0010-0000-0000-000018000000}" name="EquipSuitDes_EN" dataDxfId="0"/>
    <tableColumn id="4" xr3:uid="{00000000-0010-0000-0000-000004000000}" name="ifShowSuitNum"/>
    <tableColumn id="5" xr3:uid="{00000000-0010-0000-0000-000005000000}" name="Equip_Hp"/>
    <tableColumn id="6" xr3:uid="{00000000-0010-0000-0000-000006000000}" name="Equip_MinAct"/>
    <tableColumn id="7" xr3:uid="{00000000-0010-0000-0000-000007000000}" name="Equip_MaxAct"/>
    <tableColumn id="8" xr3:uid="{00000000-0010-0000-0000-000008000000}" name="Equip_MinMagAct"/>
    <tableColumn id="9" xr3:uid="{00000000-0010-0000-0000-000009000000}" name="Equip_MaxMagAct"/>
    <tableColumn id="10" xr3:uid="{00000000-0010-0000-0000-00000A000000}" name="Equip_MinDef"/>
    <tableColumn id="11" xr3:uid="{00000000-0010-0000-0000-00000B000000}" name="Equip_MaxDef"/>
    <tableColumn id="12" xr3:uid="{00000000-0010-0000-0000-00000C000000}" name="Equip_MinAdf"/>
    <tableColumn id="13" xr3:uid="{00000000-0010-0000-0000-00000D000000}" name="Equip_MaxAdf"/>
    <tableColumn id="14" xr3:uid="{00000000-0010-0000-0000-00000E000000}" name="Equip_Cri"/>
    <tableColumn id="15" xr3:uid="{00000000-0010-0000-0000-00000F000000}" name="Equip_Hit"/>
    <tableColumn id="16" xr3:uid="{00000000-0010-0000-0000-000010000000}" name="Equip_Dodge"/>
    <tableColumn id="17" xr3:uid="{00000000-0010-0000-0000-000011000000}" name="Equip_DamgeAdd"/>
    <tableColumn id="18" xr3:uid="{00000000-0010-0000-0000-000012000000}" name="Equip_DamgeSub"/>
    <tableColumn id="19" xr3:uid="{00000000-0010-0000-0000-000013000000}" name="Equip_Speed"/>
    <tableColumn id="20" xr3:uid="{00000000-0010-0000-0000-000014000000}" name="Equip_Lucky"/>
    <tableColumn id="21" xr3:uid="{00000000-0010-0000-0000-000015000000}" name="EquipSuitSkillID"/>
    <tableColumn id="22" xr3:uid="{00000000-0010-0000-0000-000016000000}" name="AddPropreListSt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1"/>
  <sheetViews>
    <sheetView tabSelected="1" workbookViewId="0">
      <pane xSplit="6" ySplit="5" topLeftCell="G84" activePane="bottomRight" state="frozen"/>
      <selection pane="topRight"/>
      <selection pane="bottomLeft"/>
      <selection pane="bottomRight" activeCell="B90" sqref="B90"/>
    </sheetView>
  </sheetViews>
  <sheetFormatPr defaultColWidth="9" defaultRowHeight="13.5" x14ac:dyDescent="0.15"/>
  <cols>
    <col min="1" max="1" width="8.5" customWidth="1"/>
    <col min="2" max="3" width="19" customWidth="1"/>
    <col min="4" max="5" width="31.125" customWidth="1"/>
    <col min="6" max="6" width="19" customWidth="1"/>
    <col min="7" max="7" width="13.5" customWidth="1"/>
    <col min="8" max="8" width="17.875" customWidth="1"/>
    <col min="9" max="9" width="19" customWidth="1"/>
    <col min="10" max="10" width="17.875" customWidth="1"/>
    <col min="11" max="11" width="19" customWidth="1"/>
    <col min="12" max="12" width="17.875" customWidth="1"/>
    <col min="13" max="15" width="19" customWidth="1"/>
    <col min="16" max="17" width="14.5" customWidth="1"/>
    <col min="18" max="18" width="15.5" customWidth="1"/>
    <col min="19" max="19" width="20.125" customWidth="1"/>
    <col min="20" max="20" width="21.25" customWidth="1"/>
    <col min="21" max="21" width="16" customWidth="1"/>
    <col min="22" max="23" width="16.625" customWidth="1"/>
    <col min="24" max="24" width="16.125" customWidth="1"/>
  </cols>
  <sheetData>
    <row r="1" spans="1:24" s="1" customFormat="1" ht="20.100000000000001" customHeight="1" x14ac:dyDescent="0.15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</row>
    <row r="2" spans="1:24" s="1" customFormat="1" ht="20.100000000000001" customHeight="1" x14ac:dyDescent="0.15">
      <c r="A2" s="4" t="s">
        <v>17</v>
      </c>
      <c r="B2" s="4" t="s">
        <v>18</v>
      </c>
      <c r="C2" s="4" t="s">
        <v>18</v>
      </c>
      <c r="D2" s="4" t="s">
        <v>18</v>
      </c>
      <c r="E2" s="4" t="s">
        <v>18</v>
      </c>
      <c r="F2" s="4" t="s">
        <v>18</v>
      </c>
      <c r="G2" s="4" t="s">
        <v>18</v>
      </c>
      <c r="H2" s="4" t="s">
        <v>18</v>
      </c>
      <c r="I2" s="4" t="s">
        <v>18</v>
      </c>
      <c r="J2" s="4" t="s">
        <v>18</v>
      </c>
      <c r="K2" s="4" t="s">
        <v>18</v>
      </c>
      <c r="L2" s="4" t="s">
        <v>18</v>
      </c>
      <c r="M2" s="4" t="s">
        <v>18</v>
      </c>
      <c r="N2" s="4" t="s">
        <v>18</v>
      </c>
      <c r="O2" s="4" t="s">
        <v>18</v>
      </c>
      <c r="P2" s="4" t="s">
        <v>18</v>
      </c>
      <c r="Q2" s="4" t="s">
        <v>18</v>
      </c>
      <c r="R2" s="4" t="s">
        <v>18</v>
      </c>
      <c r="S2" s="4" t="s">
        <v>18</v>
      </c>
      <c r="T2" s="4" t="s">
        <v>18</v>
      </c>
      <c r="U2" s="4" t="s">
        <v>18</v>
      </c>
      <c r="V2" s="4" t="s">
        <v>18</v>
      </c>
      <c r="W2" s="4" t="s">
        <v>18</v>
      </c>
      <c r="X2" s="4" t="s">
        <v>18</v>
      </c>
    </row>
    <row r="3" spans="1:24" s="1" customFormat="1" ht="20.100000000000001" customHeight="1" x14ac:dyDescent="0.15">
      <c r="A3" s="4">
        <v>8</v>
      </c>
      <c r="B3" s="4">
        <v>16</v>
      </c>
      <c r="C3" s="4">
        <v>16</v>
      </c>
      <c r="D3" s="4">
        <v>16</v>
      </c>
      <c r="E3" s="4">
        <v>16</v>
      </c>
      <c r="F3" s="4">
        <v>16</v>
      </c>
      <c r="G3" s="4">
        <v>16</v>
      </c>
      <c r="H3" s="4">
        <v>16</v>
      </c>
      <c r="I3" s="4">
        <v>16</v>
      </c>
      <c r="J3" s="4">
        <v>16</v>
      </c>
      <c r="K3" s="4">
        <v>16</v>
      </c>
      <c r="L3" s="4">
        <v>16</v>
      </c>
      <c r="M3" s="4">
        <v>16</v>
      </c>
      <c r="N3" s="4">
        <v>16</v>
      </c>
      <c r="O3" s="4">
        <v>16</v>
      </c>
      <c r="P3" s="4">
        <v>16</v>
      </c>
      <c r="Q3" s="4">
        <v>16</v>
      </c>
      <c r="R3" s="4">
        <v>16</v>
      </c>
      <c r="S3" s="4">
        <v>16</v>
      </c>
      <c r="T3" s="4">
        <v>16</v>
      </c>
      <c r="U3" s="4">
        <v>16</v>
      </c>
      <c r="V3" s="4">
        <v>16</v>
      </c>
      <c r="W3" s="4">
        <v>16</v>
      </c>
      <c r="X3" s="4">
        <v>16</v>
      </c>
    </row>
    <row r="4" spans="1:24" s="1" customFormat="1" ht="20.100000000000001" customHeight="1" x14ac:dyDescent="0.15">
      <c r="A4" s="4" t="s">
        <v>19</v>
      </c>
      <c r="B4" s="4" t="s">
        <v>19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4" t="s">
        <v>19</v>
      </c>
      <c r="M4" s="4" t="s">
        <v>19</v>
      </c>
      <c r="N4" s="4" t="s">
        <v>19</v>
      </c>
      <c r="O4" s="4" t="s">
        <v>19</v>
      </c>
      <c r="P4" s="4" t="s">
        <v>19</v>
      </c>
      <c r="Q4" s="4" t="s">
        <v>19</v>
      </c>
      <c r="R4" s="4" t="s">
        <v>19</v>
      </c>
      <c r="S4" s="4" t="s">
        <v>19</v>
      </c>
      <c r="T4" s="4" t="s">
        <v>19</v>
      </c>
      <c r="U4" s="4" t="s">
        <v>19</v>
      </c>
      <c r="V4" s="4" t="s">
        <v>19</v>
      </c>
      <c r="W4" s="4" t="s">
        <v>19</v>
      </c>
      <c r="X4" s="4" t="s">
        <v>19</v>
      </c>
    </row>
    <row r="5" spans="1:24" s="1" customFormat="1" ht="20.100000000000001" customHeight="1" x14ac:dyDescent="0.15">
      <c r="A5" s="5" t="s">
        <v>0</v>
      </c>
      <c r="B5" s="4" t="s">
        <v>20</v>
      </c>
      <c r="C5" s="4" t="s">
        <v>187</v>
      </c>
      <c r="D5" s="4" t="s">
        <v>21</v>
      </c>
      <c r="E5" s="4" t="s">
        <v>188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31</v>
      </c>
      <c r="P5" s="4" t="s">
        <v>32</v>
      </c>
      <c r="Q5" s="4" t="s">
        <v>33</v>
      </c>
      <c r="R5" s="4" t="s">
        <v>34</v>
      </c>
      <c r="S5" s="4" t="s">
        <v>35</v>
      </c>
      <c r="T5" s="4" t="s">
        <v>36</v>
      </c>
      <c r="U5" s="4" t="s">
        <v>37</v>
      </c>
      <c r="V5" s="4" t="s">
        <v>38</v>
      </c>
      <c r="W5" s="4" t="s">
        <v>39</v>
      </c>
      <c r="X5" s="4" t="s">
        <v>40</v>
      </c>
    </row>
    <row r="6" spans="1:24" ht="20.100000000000001" customHeight="1" x14ac:dyDescent="0.15">
      <c r="A6" s="6">
        <v>11011</v>
      </c>
      <c r="B6" s="7" t="s">
        <v>41</v>
      </c>
      <c r="C6" s="16" t="s">
        <v>123</v>
      </c>
      <c r="D6" s="8" t="s">
        <v>42</v>
      </c>
      <c r="E6" s="8" t="s">
        <v>157</v>
      </c>
      <c r="F6" s="9">
        <v>0</v>
      </c>
      <c r="G6" s="7">
        <v>0</v>
      </c>
      <c r="H6" s="7">
        <v>0</v>
      </c>
      <c r="I6" s="7">
        <v>20</v>
      </c>
      <c r="J6" s="7">
        <v>0</v>
      </c>
      <c r="K6" s="7">
        <v>0</v>
      </c>
      <c r="L6" s="9">
        <v>0</v>
      </c>
      <c r="M6" s="9">
        <v>0</v>
      </c>
      <c r="N6" s="9">
        <v>0</v>
      </c>
      <c r="O6" s="9">
        <v>0</v>
      </c>
      <c r="P6" s="7">
        <v>0.03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</row>
    <row r="7" spans="1:24" ht="20.100000000000001" customHeight="1" x14ac:dyDescent="0.15">
      <c r="A7" s="7">
        <v>11021</v>
      </c>
      <c r="B7" s="7" t="s">
        <v>43</v>
      </c>
      <c r="C7" s="15" t="s">
        <v>124</v>
      </c>
      <c r="D7" s="7" t="s">
        <v>44</v>
      </c>
      <c r="E7" s="7" t="s">
        <v>158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0.05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</row>
    <row r="8" spans="1:24" ht="20.100000000000001" customHeight="1" x14ac:dyDescent="0.15">
      <c r="A8" s="7">
        <v>11022</v>
      </c>
      <c r="B8" s="7" t="s">
        <v>43</v>
      </c>
      <c r="C8" s="15" t="s">
        <v>124</v>
      </c>
      <c r="D8" s="7" t="s">
        <v>45</v>
      </c>
      <c r="E8" s="7" t="s">
        <v>159</v>
      </c>
      <c r="F8" s="7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10</v>
      </c>
      <c r="N8" s="7">
        <v>0</v>
      </c>
      <c r="O8" s="7">
        <v>10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</row>
    <row r="9" spans="1:24" ht="20.100000000000001" customHeight="1" x14ac:dyDescent="0.15">
      <c r="A9" s="7">
        <v>11023</v>
      </c>
      <c r="B9" s="7" t="s">
        <v>46</v>
      </c>
      <c r="C9" s="15" t="s">
        <v>124</v>
      </c>
      <c r="D9" s="7" t="s">
        <v>47</v>
      </c>
      <c r="E9" s="7" t="s">
        <v>160</v>
      </c>
      <c r="F9" s="7">
        <v>0</v>
      </c>
      <c r="G9" s="7">
        <v>150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0.03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15">
      <c r="A10" s="7">
        <v>11031</v>
      </c>
      <c r="B10" s="7" t="s">
        <v>48</v>
      </c>
      <c r="C10" s="15" t="s">
        <v>125</v>
      </c>
      <c r="D10" s="7" t="s">
        <v>49</v>
      </c>
      <c r="E10" s="7" t="s">
        <v>161</v>
      </c>
      <c r="F10" s="7">
        <v>0</v>
      </c>
      <c r="G10" s="7">
        <v>0</v>
      </c>
      <c r="H10" s="7">
        <v>0</v>
      </c>
      <c r="I10" s="7">
        <v>30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15">
      <c r="A11" s="7">
        <f>A10+10</f>
        <v>11041</v>
      </c>
      <c r="B11" s="7" t="s">
        <v>50</v>
      </c>
      <c r="C11" s="15" t="s">
        <v>126</v>
      </c>
      <c r="D11" s="7" t="s">
        <v>51</v>
      </c>
      <c r="E11" s="7" t="s">
        <v>162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0.03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15">
      <c r="A12" s="7">
        <v>11511</v>
      </c>
      <c r="B12" s="7" t="s">
        <v>52</v>
      </c>
      <c r="C12" s="15" t="s">
        <v>127</v>
      </c>
      <c r="D12" s="7" t="s">
        <v>53</v>
      </c>
      <c r="E12" s="7" t="s">
        <v>163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0.05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15">
      <c r="A13" s="7">
        <f>A12+10</f>
        <v>11521</v>
      </c>
      <c r="B13" s="7" t="s">
        <v>54</v>
      </c>
      <c r="C13" s="15" t="s">
        <v>127</v>
      </c>
      <c r="D13" s="7" t="s">
        <v>55</v>
      </c>
      <c r="E13" s="7" t="s">
        <v>164</v>
      </c>
      <c r="F13" s="7">
        <v>0</v>
      </c>
      <c r="G13" s="7">
        <v>0</v>
      </c>
      <c r="H13" s="7">
        <v>0</v>
      </c>
      <c r="I13" s="7">
        <v>20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15">
      <c r="A14" s="7">
        <f>A13+1</f>
        <v>11522</v>
      </c>
      <c r="B14" s="7" t="s">
        <v>54</v>
      </c>
      <c r="C14" s="15" t="s">
        <v>127</v>
      </c>
      <c r="D14" s="7" t="s">
        <v>56</v>
      </c>
      <c r="E14" s="7" t="s">
        <v>162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0.05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15">
      <c r="A15" s="7">
        <f>A14+1</f>
        <v>11523</v>
      </c>
      <c r="B15" s="7" t="s">
        <v>54</v>
      </c>
      <c r="C15" s="15" t="s">
        <v>127</v>
      </c>
      <c r="D15" s="7" t="s">
        <v>57</v>
      </c>
      <c r="E15" s="7" t="s">
        <v>165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0.05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15">
      <c r="A16" s="7">
        <f>11531</f>
        <v>11531</v>
      </c>
      <c r="B16" s="7" t="s">
        <v>58</v>
      </c>
      <c r="C16" s="15" t="s">
        <v>127</v>
      </c>
      <c r="D16" s="7" t="s">
        <v>53</v>
      </c>
      <c r="E16" s="7" t="s">
        <v>163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0.05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15">
      <c r="A17" s="7">
        <f>11541</f>
        <v>11541</v>
      </c>
      <c r="B17" s="7" t="s">
        <v>59</v>
      </c>
      <c r="C17" s="15" t="s">
        <v>127</v>
      </c>
      <c r="D17" s="7" t="s">
        <v>57</v>
      </c>
      <c r="E17" s="7" t="s">
        <v>165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0.05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s="2" customFormat="1" ht="20.100000000000001" customHeight="1" x14ac:dyDescent="0.15">
      <c r="A18" s="10">
        <v>11611</v>
      </c>
      <c r="B18" s="10" t="s">
        <v>60</v>
      </c>
      <c r="C18" s="10" t="s">
        <v>129</v>
      </c>
      <c r="D18" s="10" t="s">
        <v>61</v>
      </c>
      <c r="E18" s="7" t="s">
        <v>166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 t="s">
        <v>62</v>
      </c>
    </row>
    <row r="19" spans="1:24" ht="20.100000000000001" customHeight="1" x14ac:dyDescent="0.15">
      <c r="A19" s="7">
        <v>12011</v>
      </c>
      <c r="B19" s="7" t="s">
        <v>63</v>
      </c>
      <c r="C19" s="15" t="s">
        <v>128</v>
      </c>
      <c r="D19" s="7" t="s">
        <v>49</v>
      </c>
      <c r="E19" s="7" t="s">
        <v>161</v>
      </c>
      <c r="F19" s="7">
        <v>0</v>
      </c>
      <c r="G19" s="7">
        <v>0</v>
      </c>
      <c r="H19" s="7">
        <v>0</v>
      </c>
      <c r="I19" s="7">
        <v>30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15">
      <c r="A20" s="7">
        <f>A19+10</f>
        <v>12021</v>
      </c>
      <c r="B20" s="7" t="s">
        <v>64</v>
      </c>
      <c r="C20" s="15" t="s">
        <v>130</v>
      </c>
      <c r="D20" s="7" t="s">
        <v>65</v>
      </c>
      <c r="E20" s="7" t="s">
        <v>167</v>
      </c>
      <c r="F20" s="7">
        <v>0</v>
      </c>
      <c r="G20" s="7">
        <v>0</v>
      </c>
      <c r="H20" s="7">
        <v>0</v>
      </c>
      <c r="I20" s="7">
        <v>25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15">
      <c r="A21" s="7">
        <f>A20+1</f>
        <v>12022</v>
      </c>
      <c r="B21" s="7"/>
      <c r="C21" s="7"/>
      <c r="D21" s="7" t="s">
        <v>44</v>
      </c>
      <c r="E21" s="7" t="s">
        <v>158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0.05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15">
      <c r="A22" s="7">
        <v>12031</v>
      </c>
      <c r="B22" s="7" t="s">
        <v>66</v>
      </c>
      <c r="C22" s="15" t="s">
        <v>131</v>
      </c>
      <c r="D22" s="7" t="s">
        <v>67</v>
      </c>
      <c r="E22" s="7" t="s">
        <v>162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0.03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15">
      <c r="A23" s="7">
        <f>A22+10</f>
        <v>12041</v>
      </c>
      <c r="B23" s="7" t="s">
        <v>68</v>
      </c>
      <c r="C23" s="15" t="s">
        <v>132</v>
      </c>
      <c r="D23" s="7" t="s">
        <v>69</v>
      </c>
      <c r="E23" s="7" t="s">
        <v>168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15</v>
      </c>
      <c r="N23" s="7">
        <v>0</v>
      </c>
      <c r="O23" s="7">
        <v>15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15">
      <c r="A24" s="7">
        <f>A23+10</f>
        <v>12051</v>
      </c>
      <c r="B24" s="7" t="s">
        <v>70</v>
      </c>
      <c r="C24" s="15" t="s">
        <v>133</v>
      </c>
      <c r="D24" s="7" t="s">
        <v>49</v>
      </c>
      <c r="E24" s="7" t="s">
        <v>161</v>
      </c>
      <c r="F24" s="7">
        <v>0</v>
      </c>
      <c r="G24" s="7">
        <v>0</v>
      </c>
      <c r="H24" s="7">
        <v>0</v>
      </c>
      <c r="I24" s="7">
        <v>30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0.100000000000001" customHeight="1" x14ac:dyDescent="0.15">
      <c r="A25" s="7">
        <f>A24+1</f>
        <v>12052</v>
      </c>
      <c r="B25" s="7"/>
      <c r="C25" s="7"/>
      <c r="D25" s="7" t="s">
        <v>71</v>
      </c>
      <c r="E25" s="7" t="s">
        <v>163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0.05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15">
      <c r="A26" s="7">
        <v>12511</v>
      </c>
      <c r="B26" s="7" t="s">
        <v>72</v>
      </c>
      <c r="C26" s="15" t="s">
        <v>134</v>
      </c>
      <c r="D26" s="7" t="s">
        <v>56</v>
      </c>
      <c r="E26" s="7" t="s">
        <v>169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0.05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15">
      <c r="A27" s="7">
        <v>12521</v>
      </c>
      <c r="B27" s="7" t="s">
        <v>72</v>
      </c>
      <c r="C27" s="15" t="s">
        <v>134</v>
      </c>
      <c r="D27" s="7" t="s">
        <v>73</v>
      </c>
      <c r="E27" s="7" t="s">
        <v>170</v>
      </c>
      <c r="F27" s="7">
        <v>0</v>
      </c>
      <c r="G27" s="7">
        <v>0</v>
      </c>
      <c r="H27" s="7">
        <v>0</v>
      </c>
      <c r="I27" s="7">
        <v>35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15">
      <c r="A28" s="7">
        <f>A27+1</f>
        <v>12522</v>
      </c>
      <c r="B28" s="7"/>
      <c r="C28" s="7"/>
      <c r="D28" s="7" t="s">
        <v>69</v>
      </c>
      <c r="E28" s="7" t="s">
        <v>168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15</v>
      </c>
      <c r="N28" s="7">
        <v>0</v>
      </c>
      <c r="O28" s="7">
        <v>15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</row>
    <row r="29" spans="1:24" ht="20.100000000000001" customHeight="1" x14ac:dyDescent="0.15">
      <c r="A29" s="7">
        <f>A28+1</f>
        <v>12523</v>
      </c>
      <c r="B29" s="7"/>
      <c r="C29" s="7"/>
      <c r="D29" s="7" t="s">
        <v>74</v>
      </c>
      <c r="E29" s="7" t="s">
        <v>165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0.05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</row>
    <row r="30" spans="1:24" ht="20.100000000000001" customHeight="1" x14ac:dyDescent="0.15">
      <c r="A30" s="7">
        <v>12531</v>
      </c>
      <c r="B30" s="7" t="s">
        <v>72</v>
      </c>
      <c r="C30" s="15" t="s">
        <v>134</v>
      </c>
      <c r="D30" s="7" t="s">
        <v>53</v>
      </c>
      <c r="E30" s="7" t="s">
        <v>163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0.05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15">
      <c r="A31" s="7">
        <v>12541</v>
      </c>
      <c r="B31" s="7" t="s">
        <v>72</v>
      </c>
      <c r="C31" s="15" t="s">
        <v>134</v>
      </c>
      <c r="D31" s="7" t="s">
        <v>75</v>
      </c>
      <c r="E31" s="7" t="s">
        <v>171</v>
      </c>
      <c r="F31" s="7">
        <v>0</v>
      </c>
      <c r="G31" s="7">
        <v>300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0.05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s="2" customFormat="1" ht="20.100000000000001" customHeight="1" x14ac:dyDescent="0.15">
      <c r="A32" s="10">
        <v>12611</v>
      </c>
      <c r="B32" s="10" t="s">
        <v>76</v>
      </c>
      <c r="C32" s="10" t="s">
        <v>137</v>
      </c>
      <c r="D32" s="10" t="s">
        <v>77</v>
      </c>
      <c r="E32" s="7" t="s">
        <v>172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 t="s">
        <v>78</v>
      </c>
    </row>
    <row r="33" spans="1:24" s="3" customFormat="1" ht="20.100000000000001" customHeight="1" x14ac:dyDescent="0.15">
      <c r="A33" s="7">
        <v>13011</v>
      </c>
      <c r="B33" s="7" t="s">
        <v>79</v>
      </c>
      <c r="C33" s="15" t="s">
        <v>135</v>
      </c>
      <c r="D33" s="7" t="s">
        <v>80</v>
      </c>
      <c r="E33" s="7" t="s">
        <v>173</v>
      </c>
      <c r="F33" s="7">
        <v>0</v>
      </c>
      <c r="G33" s="7">
        <v>0</v>
      </c>
      <c r="H33" s="7">
        <v>0</v>
      </c>
      <c r="I33" s="7">
        <v>45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s="3" customFormat="1" ht="20.100000000000001" customHeight="1" x14ac:dyDescent="0.15">
      <c r="A34" s="7">
        <v>13021</v>
      </c>
      <c r="B34" s="7" t="s">
        <v>81</v>
      </c>
      <c r="C34" s="15" t="s">
        <v>136</v>
      </c>
      <c r="D34" s="7" t="s">
        <v>57</v>
      </c>
      <c r="E34" s="7" t="s">
        <v>165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0.05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s="3" customFormat="1" ht="20.100000000000001" customHeight="1" x14ac:dyDescent="0.15">
      <c r="A35" s="7">
        <v>13031</v>
      </c>
      <c r="B35" s="7" t="s">
        <v>82</v>
      </c>
      <c r="C35" s="15" t="s">
        <v>138</v>
      </c>
      <c r="D35" s="7" t="s">
        <v>83</v>
      </c>
      <c r="E35" s="7" t="s">
        <v>174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0.05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s="3" customFormat="1" ht="20.100000000000001" customHeight="1" x14ac:dyDescent="0.15">
      <c r="A36" s="7">
        <v>13041</v>
      </c>
      <c r="B36" s="7" t="s">
        <v>84</v>
      </c>
      <c r="C36" s="15" t="s">
        <v>139</v>
      </c>
      <c r="D36" s="7" t="s">
        <v>85</v>
      </c>
      <c r="E36" s="7" t="s">
        <v>175</v>
      </c>
      <c r="F36" s="7">
        <v>0</v>
      </c>
      <c r="G36" s="7">
        <v>0</v>
      </c>
      <c r="H36" s="7">
        <v>0</v>
      </c>
      <c r="I36" s="7">
        <v>40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s="3" customFormat="1" ht="20.100000000000001" customHeight="1" x14ac:dyDescent="0.15">
      <c r="A37" s="7">
        <v>13042</v>
      </c>
      <c r="B37" s="7"/>
      <c r="C37" s="7"/>
      <c r="D37" s="7" t="s">
        <v>57</v>
      </c>
      <c r="E37" s="7" t="s">
        <v>165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0.05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s="3" customFormat="1" ht="20.100000000000001" customHeight="1" x14ac:dyDescent="0.15">
      <c r="A38" s="7">
        <v>13051</v>
      </c>
      <c r="B38" s="7" t="s">
        <v>86</v>
      </c>
      <c r="C38" s="15" t="s">
        <v>140</v>
      </c>
      <c r="D38" s="7" t="s">
        <v>87</v>
      </c>
      <c r="E38" s="7" t="s">
        <v>169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0.05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</row>
    <row r="39" spans="1:24" s="3" customFormat="1" ht="20.100000000000001" customHeight="1" x14ac:dyDescent="0.15">
      <c r="A39" s="7">
        <v>13061</v>
      </c>
      <c r="B39" s="7" t="s">
        <v>88</v>
      </c>
      <c r="C39" s="15" t="s">
        <v>141</v>
      </c>
      <c r="D39" s="15" t="s">
        <v>122</v>
      </c>
      <c r="E39" s="7" t="s">
        <v>159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10</v>
      </c>
      <c r="N39" s="7">
        <v>0</v>
      </c>
      <c r="O39" s="7">
        <v>10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s="3" customFormat="1" ht="20.100000000000001" customHeight="1" x14ac:dyDescent="0.15">
      <c r="A40" s="7">
        <v>13511</v>
      </c>
      <c r="B40" s="7" t="s">
        <v>89</v>
      </c>
      <c r="C40" s="15" t="s">
        <v>142</v>
      </c>
      <c r="D40" s="7" t="s">
        <v>80</v>
      </c>
      <c r="E40" s="7" t="s">
        <v>173</v>
      </c>
      <c r="F40" s="7">
        <v>0</v>
      </c>
      <c r="G40" s="7">
        <v>0</v>
      </c>
      <c r="H40" s="7">
        <v>0</v>
      </c>
      <c r="I40" s="7">
        <v>45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1" spans="1:24" s="3" customFormat="1" ht="20.100000000000001" customHeight="1" x14ac:dyDescent="0.15">
      <c r="A41" s="7">
        <v>13521</v>
      </c>
      <c r="B41" s="7" t="s">
        <v>89</v>
      </c>
      <c r="C41" s="15" t="s">
        <v>142</v>
      </c>
      <c r="D41" s="7" t="s">
        <v>44</v>
      </c>
      <c r="E41" s="7" t="s">
        <v>158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0.05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</row>
    <row r="42" spans="1:24" s="3" customFormat="1" ht="20.100000000000001" customHeight="1" x14ac:dyDescent="0.15">
      <c r="A42" s="7">
        <v>13522</v>
      </c>
      <c r="B42" s="7"/>
      <c r="C42" s="7"/>
      <c r="D42" s="7" t="s">
        <v>90</v>
      </c>
      <c r="E42" s="7" t="s">
        <v>176</v>
      </c>
      <c r="F42" s="7">
        <v>0</v>
      </c>
      <c r="G42" s="7">
        <v>0</v>
      </c>
      <c r="H42" s="7">
        <v>0</v>
      </c>
      <c r="I42" s="7">
        <v>50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</row>
    <row r="43" spans="1:24" s="3" customFormat="1" ht="20.100000000000001" customHeight="1" x14ac:dyDescent="0.15">
      <c r="A43" s="7">
        <v>13523</v>
      </c>
      <c r="B43" s="7"/>
      <c r="C43" s="7"/>
      <c r="D43" s="7" t="s">
        <v>57</v>
      </c>
      <c r="E43" s="7" t="s">
        <v>165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0.05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</row>
    <row r="44" spans="1:24" s="3" customFormat="1" ht="20.100000000000001" customHeight="1" x14ac:dyDescent="0.15">
      <c r="A44" s="7">
        <v>13531</v>
      </c>
      <c r="B44" s="7" t="s">
        <v>89</v>
      </c>
      <c r="C44" s="15" t="s">
        <v>142</v>
      </c>
      <c r="D44" s="7" t="s">
        <v>83</v>
      </c>
      <c r="E44" s="7" t="s">
        <v>174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0.05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</row>
    <row r="45" spans="1:24" s="3" customFormat="1" ht="20.100000000000001" customHeight="1" x14ac:dyDescent="0.15">
      <c r="A45" s="7">
        <v>13541</v>
      </c>
      <c r="B45" s="7" t="s">
        <v>89</v>
      </c>
      <c r="C45" s="15" t="s">
        <v>142</v>
      </c>
      <c r="D45" s="7" t="s">
        <v>91</v>
      </c>
      <c r="E45" s="7" t="s">
        <v>177</v>
      </c>
      <c r="F45" s="7">
        <v>0</v>
      </c>
      <c r="G45" s="7">
        <v>300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</row>
    <row r="46" spans="1:24" s="3" customFormat="1" ht="20.100000000000001" customHeight="1" x14ac:dyDescent="0.15">
      <c r="A46" s="7">
        <v>13542</v>
      </c>
      <c r="B46" s="7"/>
      <c r="C46" s="7"/>
      <c r="D46" s="7" t="s">
        <v>83</v>
      </c>
      <c r="E46" s="7" t="s">
        <v>174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0.05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</row>
    <row r="47" spans="1:24" s="2" customFormat="1" ht="20.100000000000001" customHeight="1" x14ac:dyDescent="0.15">
      <c r="A47" s="10">
        <v>13611</v>
      </c>
      <c r="B47" s="10" t="s">
        <v>92</v>
      </c>
      <c r="C47" s="10" t="s">
        <v>143</v>
      </c>
      <c r="D47" s="7" t="s">
        <v>93</v>
      </c>
      <c r="E47" s="7" t="s">
        <v>178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0.1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s="3" customFormat="1" ht="20.100000000000001" customHeight="1" x14ac:dyDescent="0.15">
      <c r="A48" s="7">
        <v>14011</v>
      </c>
      <c r="B48" s="7" t="s">
        <v>94</v>
      </c>
      <c r="C48" s="15" t="s">
        <v>144</v>
      </c>
      <c r="D48" s="7" t="s">
        <v>56</v>
      </c>
      <c r="E48" s="7" t="s">
        <v>169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0.05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</row>
    <row r="49" spans="1:24" s="3" customFormat="1" ht="20.100000000000001" customHeight="1" x14ac:dyDescent="0.15">
      <c r="A49" s="7">
        <v>14021</v>
      </c>
      <c r="B49" s="7" t="s">
        <v>95</v>
      </c>
      <c r="C49" s="15" t="s">
        <v>145</v>
      </c>
      <c r="D49" s="7" t="s">
        <v>91</v>
      </c>
      <c r="E49" s="7" t="s">
        <v>177</v>
      </c>
      <c r="F49" s="7">
        <v>0</v>
      </c>
      <c r="G49" s="7">
        <v>300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</row>
    <row r="50" spans="1:24" s="3" customFormat="1" ht="20.100000000000001" customHeight="1" x14ac:dyDescent="0.15">
      <c r="A50" s="7">
        <v>14031</v>
      </c>
      <c r="B50" s="7" t="s">
        <v>68</v>
      </c>
      <c r="C50" s="15" t="s">
        <v>132</v>
      </c>
      <c r="D50" s="7" t="s">
        <v>96</v>
      </c>
      <c r="E50" s="7" t="s">
        <v>179</v>
      </c>
      <c r="F50" s="7">
        <v>0</v>
      </c>
      <c r="G50" s="7">
        <v>0</v>
      </c>
      <c r="H50" s="7">
        <v>0</v>
      </c>
      <c r="I50" s="7">
        <v>60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</row>
    <row r="51" spans="1:24" s="3" customFormat="1" ht="20.100000000000001" customHeight="1" x14ac:dyDescent="0.15">
      <c r="A51" s="7">
        <v>14032</v>
      </c>
      <c r="B51" s="7"/>
      <c r="C51" s="7"/>
      <c r="D51" s="7" t="s">
        <v>57</v>
      </c>
      <c r="E51" s="7" t="s">
        <v>165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0.05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</row>
    <row r="52" spans="1:24" s="3" customFormat="1" ht="20.100000000000001" customHeight="1" x14ac:dyDescent="0.15">
      <c r="A52" s="7">
        <v>14041</v>
      </c>
      <c r="B52" s="7" t="s">
        <v>97</v>
      </c>
      <c r="C52" s="15" t="s">
        <v>146</v>
      </c>
      <c r="D52" s="7" t="s">
        <v>98</v>
      </c>
      <c r="E52" s="7" t="s">
        <v>180</v>
      </c>
      <c r="F52" s="7">
        <v>0</v>
      </c>
      <c r="G52" s="7">
        <v>0</v>
      </c>
      <c r="H52" s="7">
        <v>0</v>
      </c>
      <c r="I52" s="7">
        <v>150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</row>
    <row r="53" spans="1:24" s="3" customFormat="1" ht="20.100000000000001" customHeight="1" x14ac:dyDescent="0.15">
      <c r="A53" s="7">
        <v>14051</v>
      </c>
      <c r="B53" s="7" t="s">
        <v>99</v>
      </c>
      <c r="C53" s="15" t="s">
        <v>147</v>
      </c>
      <c r="D53" s="7" t="s">
        <v>53</v>
      </c>
      <c r="E53" s="7" t="s">
        <v>163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0.05</v>
      </c>
      <c r="U53" s="7">
        <v>0</v>
      </c>
      <c r="V53" s="7">
        <v>0</v>
      </c>
      <c r="W53" s="7">
        <v>0</v>
      </c>
      <c r="X53" s="7">
        <v>0</v>
      </c>
    </row>
    <row r="54" spans="1:24" s="3" customFormat="1" ht="20.100000000000001" customHeight="1" x14ac:dyDescent="0.15">
      <c r="A54" s="7">
        <v>14511</v>
      </c>
      <c r="B54" s="7" t="s">
        <v>100</v>
      </c>
      <c r="C54" s="15" t="s">
        <v>148</v>
      </c>
      <c r="D54" s="7" t="s">
        <v>53</v>
      </c>
      <c r="E54" s="7" t="s">
        <v>163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0.05</v>
      </c>
      <c r="U54" s="7">
        <v>0</v>
      </c>
      <c r="V54" s="7">
        <v>0</v>
      </c>
      <c r="W54" s="7">
        <v>0</v>
      </c>
      <c r="X54" s="7">
        <v>0</v>
      </c>
    </row>
    <row r="55" spans="1:24" s="3" customFormat="1" ht="20.100000000000001" customHeight="1" x14ac:dyDescent="0.15">
      <c r="A55" s="7">
        <v>14521</v>
      </c>
      <c r="B55" s="7" t="s">
        <v>100</v>
      </c>
      <c r="C55" s="15" t="s">
        <v>148</v>
      </c>
      <c r="D55" s="7" t="s">
        <v>101</v>
      </c>
      <c r="E55" s="7" t="s">
        <v>181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0.02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</row>
    <row r="56" spans="1:24" s="3" customFormat="1" ht="20.100000000000001" customHeight="1" x14ac:dyDescent="0.15">
      <c r="A56" s="7">
        <v>14522</v>
      </c>
      <c r="B56" s="7"/>
      <c r="C56" s="7"/>
      <c r="D56" s="7" t="s">
        <v>102</v>
      </c>
      <c r="E56" s="7" t="s">
        <v>182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0.03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</row>
    <row r="57" spans="1:24" s="3" customFormat="1" ht="20.100000000000001" customHeight="1" x14ac:dyDescent="0.15">
      <c r="A57" s="7">
        <v>14523</v>
      </c>
      <c r="B57" s="7"/>
      <c r="C57" s="7"/>
      <c r="D57" s="7" t="s">
        <v>74</v>
      </c>
      <c r="E57" s="7" t="s">
        <v>165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0.05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</row>
    <row r="58" spans="1:24" s="3" customFormat="1" ht="20.100000000000001" customHeight="1" x14ac:dyDescent="0.15">
      <c r="A58" s="7">
        <v>14531</v>
      </c>
      <c r="B58" s="7" t="s">
        <v>100</v>
      </c>
      <c r="C58" s="15" t="s">
        <v>148</v>
      </c>
      <c r="D58" s="7" t="s">
        <v>96</v>
      </c>
      <c r="E58" s="7" t="s">
        <v>179</v>
      </c>
      <c r="F58" s="7">
        <v>0</v>
      </c>
      <c r="G58" s="7">
        <v>0</v>
      </c>
      <c r="H58" s="7">
        <v>0</v>
      </c>
      <c r="I58" s="7">
        <v>60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</row>
    <row r="59" spans="1:24" s="3" customFormat="1" ht="20.100000000000001" customHeight="1" x14ac:dyDescent="0.15">
      <c r="A59" s="7">
        <v>14532</v>
      </c>
      <c r="B59" s="7"/>
      <c r="C59" s="7"/>
      <c r="D59" s="7" t="s">
        <v>87</v>
      </c>
      <c r="E59" s="7" t="s">
        <v>162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0.05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</row>
    <row r="60" spans="1:24" s="3" customFormat="1" ht="20.100000000000001" customHeight="1" x14ac:dyDescent="0.15">
      <c r="A60" s="7">
        <v>14541</v>
      </c>
      <c r="B60" s="7" t="s">
        <v>100</v>
      </c>
      <c r="C60" s="15" t="s">
        <v>148</v>
      </c>
      <c r="D60" s="7" t="s">
        <v>44</v>
      </c>
      <c r="E60" s="7" t="s">
        <v>158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0.05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</row>
    <row r="61" spans="1:24" s="2" customFormat="1" ht="20.100000000000001" customHeight="1" x14ac:dyDescent="0.15">
      <c r="A61" s="10">
        <v>14611</v>
      </c>
      <c r="B61" s="10" t="s">
        <v>103</v>
      </c>
      <c r="C61" s="10" t="s">
        <v>149</v>
      </c>
      <c r="D61" s="7" t="s">
        <v>104</v>
      </c>
      <c r="E61" s="7" t="s">
        <v>183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4" t="s">
        <v>121</v>
      </c>
    </row>
    <row r="62" spans="1:24" s="3" customFormat="1" ht="20.100000000000001" customHeight="1" x14ac:dyDescent="0.15">
      <c r="A62" s="7">
        <v>15011</v>
      </c>
      <c r="B62" s="7" t="s">
        <v>105</v>
      </c>
      <c r="C62" s="15" t="s">
        <v>150</v>
      </c>
      <c r="D62" s="7" t="s">
        <v>106</v>
      </c>
      <c r="E62" s="7" t="s">
        <v>163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0.05</v>
      </c>
      <c r="U62" s="7">
        <v>0</v>
      </c>
      <c r="V62" s="7">
        <v>0</v>
      </c>
      <c r="W62" s="7">
        <v>0</v>
      </c>
      <c r="X62" s="7">
        <v>0</v>
      </c>
    </row>
    <row r="63" spans="1:24" s="3" customFormat="1" ht="20.100000000000001" customHeight="1" x14ac:dyDescent="0.15">
      <c r="A63" s="7">
        <v>15012</v>
      </c>
      <c r="B63" s="7"/>
      <c r="C63" s="7"/>
      <c r="D63" s="7" t="s">
        <v>87</v>
      </c>
      <c r="E63" s="7" t="s">
        <v>169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0.05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</row>
    <row r="64" spans="1:24" s="3" customFormat="1" ht="20.100000000000001" customHeight="1" x14ac:dyDescent="0.15">
      <c r="A64" s="7">
        <v>15021</v>
      </c>
      <c r="B64" s="7" t="s">
        <v>107</v>
      </c>
      <c r="C64" s="15" t="s">
        <v>151</v>
      </c>
      <c r="D64" s="7" t="s">
        <v>101</v>
      </c>
      <c r="E64" s="7" t="s">
        <v>181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0.02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</row>
    <row r="65" spans="1:24" s="3" customFormat="1" ht="20.100000000000001" customHeight="1" x14ac:dyDescent="0.15">
      <c r="A65" s="7">
        <v>15022</v>
      </c>
      <c r="B65" s="7"/>
      <c r="C65" s="7"/>
      <c r="D65" s="7" t="s">
        <v>102</v>
      </c>
      <c r="E65" s="7" t="s">
        <v>182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0.03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</row>
    <row r="66" spans="1:24" s="3" customFormat="1" ht="20.100000000000001" customHeight="1" x14ac:dyDescent="0.15">
      <c r="A66" s="7">
        <v>15023</v>
      </c>
      <c r="B66" s="7"/>
      <c r="C66" s="7"/>
      <c r="D66" s="7" t="s">
        <v>74</v>
      </c>
      <c r="E66" s="7" t="s">
        <v>165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0.05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</row>
    <row r="67" spans="1:24" s="3" customFormat="1" ht="20.100000000000001" customHeight="1" x14ac:dyDescent="0.15">
      <c r="A67" s="7">
        <v>15031</v>
      </c>
      <c r="B67" s="7" t="s">
        <v>108</v>
      </c>
      <c r="C67" s="15" t="s">
        <v>152</v>
      </c>
      <c r="D67" s="7" t="s">
        <v>106</v>
      </c>
      <c r="E67" s="7" t="s">
        <v>163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0.05</v>
      </c>
      <c r="U67" s="7">
        <v>0</v>
      </c>
      <c r="V67" s="7">
        <v>0</v>
      </c>
      <c r="W67" s="7">
        <v>0</v>
      </c>
      <c r="X67" s="7">
        <v>0</v>
      </c>
    </row>
    <row r="68" spans="1:24" s="3" customFormat="1" ht="20.100000000000001" customHeight="1" x14ac:dyDescent="0.15">
      <c r="A68" s="7">
        <v>15041</v>
      </c>
      <c r="B68" s="7" t="s">
        <v>109</v>
      </c>
      <c r="C68" s="15" t="s">
        <v>153</v>
      </c>
      <c r="D68" s="7" t="s">
        <v>110</v>
      </c>
      <c r="E68" s="7" t="s">
        <v>184</v>
      </c>
      <c r="F68" s="7">
        <v>0</v>
      </c>
      <c r="G68" s="7">
        <v>0</v>
      </c>
      <c r="H68" s="7">
        <v>0</v>
      </c>
      <c r="I68" s="7">
        <v>200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</row>
    <row r="69" spans="1:24" s="3" customFormat="1" ht="20.100000000000001" customHeight="1" x14ac:dyDescent="0.15">
      <c r="A69" s="7">
        <v>15051</v>
      </c>
      <c r="B69" s="7" t="s">
        <v>111</v>
      </c>
      <c r="C69" s="15" t="s">
        <v>154</v>
      </c>
      <c r="D69" s="7" t="s">
        <v>56</v>
      </c>
      <c r="E69" s="7" t="s">
        <v>169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0.05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</row>
    <row r="70" spans="1:24" s="3" customFormat="1" ht="20.100000000000001" customHeight="1" x14ac:dyDescent="0.15">
      <c r="A70" s="7">
        <v>15511</v>
      </c>
      <c r="B70" s="7" t="s">
        <v>112</v>
      </c>
      <c r="C70" s="15" t="s">
        <v>155</v>
      </c>
      <c r="D70" s="7" t="s">
        <v>44</v>
      </c>
      <c r="E70" s="7" t="s">
        <v>158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0.05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</row>
    <row r="71" spans="1:24" s="3" customFormat="1" ht="20.100000000000001" customHeight="1" x14ac:dyDescent="0.15">
      <c r="A71" s="7">
        <v>15521</v>
      </c>
      <c r="B71" s="7" t="s">
        <v>112</v>
      </c>
      <c r="C71" s="15" t="s">
        <v>155</v>
      </c>
      <c r="D71" s="7" t="s">
        <v>113</v>
      </c>
      <c r="E71" s="7" t="s">
        <v>185</v>
      </c>
      <c r="F71" s="7">
        <v>0</v>
      </c>
      <c r="G71" s="7">
        <v>0</v>
      </c>
      <c r="H71" s="7">
        <v>0</v>
      </c>
      <c r="I71" s="7">
        <v>75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</row>
    <row r="72" spans="1:24" s="3" customFormat="1" ht="20.100000000000001" customHeight="1" x14ac:dyDescent="0.15">
      <c r="A72" s="7">
        <v>15522</v>
      </c>
      <c r="B72" s="7"/>
      <c r="C72" s="7"/>
      <c r="D72" s="7" t="s">
        <v>87</v>
      </c>
      <c r="E72" s="7" t="s">
        <v>169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0.05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</row>
    <row r="73" spans="1:24" s="3" customFormat="1" ht="20.100000000000001" customHeight="1" x14ac:dyDescent="0.15">
      <c r="A73" s="7">
        <v>15523</v>
      </c>
      <c r="B73" s="7"/>
      <c r="C73" s="7"/>
      <c r="D73" s="7" t="s">
        <v>114</v>
      </c>
      <c r="E73" s="7" t="s">
        <v>186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0.05</v>
      </c>
      <c r="Q73" s="7">
        <v>0</v>
      </c>
      <c r="R73" s="7">
        <v>0</v>
      </c>
      <c r="S73" s="7">
        <v>0.05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</row>
    <row r="74" spans="1:24" s="3" customFormat="1" ht="20.100000000000001" customHeight="1" x14ac:dyDescent="0.15">
      <c r="A74" s="7">
        <v>15531</v>
      </c>
      <c r="B74" s="7" t="s">
        <v>112</v>
      </c>
      <c r="C74" s="15" t="s">
        <v>155</v>
      </c>
      <c r="D74" s="7" t="s">
        <v>53</v>
      </c>
      <c r="E74" s="7" t="s">
        <v>163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0.05</v>
      </c>
      <c r="U74" s="7">
        <v>0</v>
      </c>
      <c r="V74" s="7">
        <v>0</v>
      </c>
      <c r="W74" s="7">
        <v>0</v>
      </c>
      <c r="X74" s="7">
        <v>0</v>
      </c>
    </row>
    <row r="75" spans="1:24" s="3" customFormat="1" ht="20.100000000000001" customHeight="1" x14ac:dyDescent="0.15">
      <c r="A75" s="7">
        <v>15541</v>
      </c>
      <c r="B75" s="7" t="s">
        <v>112</v>
      </c>
      <c r="C75" s="15" t="s">
        <v>155</v>
      </c>
      <c r="D75" s="7" t="s">
        <v>74</v>
      </c>
      <c r="E75" s="7" t="s">
        <v>165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0.05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</row>
    <row r="76" spans="1:24" ht="20.100000000000001" customHeight="1" x14ac:dyDescent="0.15">
      <c r="A76" s="7">
        <v>15611</v>
      </c>
      <c r="B76" s="11" t="s">
        <v>115</v>
      </c>
      <c r="C76" s="11" t="s">
        <v>156</v>
      </c>
      <c r="D76" s="11" t="s">
        <v>44</v>
      </c>
      <c r="E76" s="7" t="s">
        <v>158</v>
      </c>
      <c r="F76" s="11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0.05</v>
      </c>
      <c r="R76" s="12">
        <v>0</v>
      </c>
      <c r="S76" s="12">
        <v>0</v>
      </c>
      <c r="T76" s="12">
        <v>0</v>
      </c>
      <c r="U76" s="13">
        <v>0</v>
      </c>
      <c r="V76" s="7">
        <v>0</v>
      </c>
      <c r="W76" s="7">
        <v>0</v>
      </c>
      <c r="X76" s="7">
        <v>0</v>
      </c>
    </row>
    <row r="77" spans="1:24" ht="20.100000000000001" customHeight="1" x14ac:dyDescent="0.15">
      <c r="A77" s="7">
        <v>15621</v>
      </c>
      <c r="B77" s="11" t="s">
        <v>116</v>
      </c>
      <c r="C77" s="11" t="s">
        <v>156</v>
      </c>
      <c r="D77" s="11" t="s">
        <v>189</v>
      </c>
      <c r="E77" s="15" t="s">
        <v>256</v>
      </c>
      <c r="F77" s="11">
        <v>0</v>
      </c>
      <c r="G77" s="12">
        <v>0</v>
      </c>
      <c r="H77" s="12">
        <v>0</v>
      </c>
      <c r="I77" s="12">
        <v>400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3">
        <v>0</v>
      </c>
      <c r="V77" s="7">
        <v>0</v>
      </c>
      <c r="W77" s="7">
        <v>0</v>
      </c>
      <c r="X77" s="7">
        <v>0</v>
      </c>
    </row>
    <row r="78" spans="1:24" ht="20.100000000000001" customHeight="1" x14ac:dyDescent="0.15">
      <c r="A78" s="7">
        <v>15622</v>
      </c>
      <c r="B78" s="11" t="s">
        <v>117</v>
      </c>
      <c r="C78" s="11" t="s">
        <v>156</v>
      </c>
      <c r="D78" s="11" t="s">
        <v>87</v>
      </c>
      <c r="E78" s="15" t="s">
        <v>255</v>
      </c>
      <c r="F78" s="11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0.05</v>
      </c>
      <c r="Q78" s="12">
        <v>0</v>
      </c>
      <c r="R78" s="12">
        <v>0</v>
      </c>
      <c r="S78" s="12">
        <v>0</v>
      </c>
      <c r="T78" s="12">
        <v>0</v>
      </c>
      <c r="U78" s="13">
        <v>0</v>
      </c>
      <c r="V78" s="7">
        <v>0</v>
      </c>
      <c r="W78" s="7">
        <v>0</v>
      </c>
      <c r="X78" s="7">
        <v>0</v>
      </c>
    </row>
    <row r="79" spans="1:24" ht="20.100000000000001" customHeight="1" x14ac:dyDescent="0.15">
      <c r="A79" s="7">
        <v>15623</v>
      </c>
      <c r="B79" s="11" t="s">
        <v>118</v>
      </c>
      <c r="C79" s="11" t="s">
        <v>156</v>
      </c>
      <c r="D79" s="11" t="s">
        <v>114</v>
      </c>
      <c r="E79" s="15" t="s">
        <v>254</v>
      </c>
      <c r="F79" s="11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0.05</v>
      </c>
      <c r="Q79" s="12">
        <v>0</v>
      </c>
      <c r="R79" s="12">
        <v>0</v>
      </c>
      <c r="S79" s="12">
        <v>0.05</v>
      </c>
      <c r="T79" s="12">
        <v>0</v>
      </c>
      <c r="U79" s="13">
        <v>0</v>
      </c>
      <c r="V79" s="7">
        <v>0</v>
      </c>
      <c r="W79" s="7">
        <v>0</v>
      </c>
      <c r="X79" s="7">
        <v>0</v>
      </c>
    </row>
    <row r="80" spans="1:24" ht="20.100000000000001" customHeight="1" x14ac:dyDescent="0.15">
      <c r="A80" s="7">
        <v>15631</v>
      </c>
      <c r="B80" s="11" t="s">
        <v>119</v>
      </c>
      <c r="C80" s="11" t="s">
        <v>156</v>
      </c>
      <c r="D80" s="11" t="s">
        <v>190</v>
      </c>
      <c r="E80" s="15" t="s">
        <v>257</v>
      </c>
      <c r="F80" s="11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50</v>
      </c>
      <c r="M80" s="12">
        <v>80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0.05</v>
      </c>
      <c r="U80" s="13">
        <v>0</v>
      </c>
      <c r="V80" s="7">
        <v>0</v>
      </c>
      <c r="W80" s="7">
        <v>0</v>
      </c>
      <c r="X80" s="7">
        <v>0</v>
      </c>
    </row>
    <row r="81" spans="1:24" ht="20.100000000000001" customHeight="1" x14ac:dyDescent="0.15">
      <c r="A81" s="7">
        <v>15641</v>
      </c>
      <c r="B81" s="11" t="s">
        <v>120</v>
      </c>
      <c r="C81" s="11" t="s">
        <v>156</v>
      </c>
      <c r="D81" s="11" t="s">
        <v>191</v>
      </c>
      <c r="E81" s="15" t="s">
        <v>192</v>
      </c>
      <c r="F81" s="11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50</v>
      </c>
      <c r="O81" s="12">
        <v>80</v>
      </c>
      <c r="P81" s="12">
        <v>0</v>
      </c>
      <c r="Q81" s="12">
        <v>0</v>
      </c>
      <c r="R81" s="12">
        <v>0</v>
      </c>
      <c r="S81" s="12">
        <v>0.05</v>
      </c>
      <c r="T81" s="12">
        <v>0</v>
      </c>
      <c r="U81" s="13">
        <v>0</v>
      </c>
      <c r="V81" s="7">
        <v>0</v>
      </c>
      <c r="W81" s="7">
        <v>0</v>
      </c>
      <c r="X81" s="7">
        <v>0</v>
      </c>
    </row>
    <row r="82" spans="1:24" ht="20.100000000000001" customHeight="1" x14ac:dyDescent="0.15">
      <c r="A82" s="7">
        <v>15711</v>
      </c>
      <c r="B82" s="11" t="s">
        <v>115</v>
      </c>
      <c r="C82" s="11" t="s">
        <v>156</v>
      </c>
      <c r="D82" s="17" t="s">
        <v>226</v>
      </c>
      <c r="E82" s="7" t="s">
        <v>158</v>
      </c>
      <c r="F82" s="11">
        <v>0</v>
      </c>
      <c r="G82" s="12">
        <v>0</v>
      </c>
      <c r="H82" s="12">
        <v>0</v>
      </c>
      <c r="I82" s="12">
        <v>120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0.05</v>
      </c>
      <c r="R82" s="12">
        <v>0</v>
      </c>
      <c r="S82" s="12">
        <v>0</v>
      </c>
      <c r="T82" s="12">
        <v>0</v>
      </c>
      <c r="U82" s="13">
        <v>0</v>
      </c>
      <c r="V82" s="7">
        <v>0</v>
      </c>
      <c r="W82" s="7">
        <v>0</v>
      </c>
      <c r="X82" s="7">
        <v>0</v>
      </c>
    </row>
    <row r="83" spans="1:24" ht="20.100000000000001" customHeight="1" x14ac:dyDescent="0.15">
      <c r="A83" s="7">
        <v>15721</v>
      </c>
      <c r="B83" s="11" t="s">
        <v>116</v>
      </c>
      <c r="C83" s="11" t="s">
        <v>156</v>
      </c>
      <c r="D83" s="17" t="s">
        <v>228</v>
      </c>
      <c r="E83" s="15" t="s">
        <v>243</v>
      </c>
      <c r="F83" s="11">
        <v>0</v>
      </c>
      <c r="G83" s="12">
        <v>0</v>
      </c>
      <c r="H83" s="12">
        <v>0</v>
      </c>
      <c r="I83" s="12">
        <v>520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3">
        <v>0</v>
      </c>
      <c r="V83" s="7">
        <v>0</v>
      </c>
      <c r="W83" s="7">
        <v>0</v>
      </c>
      <c r="X83" s="7">
        <v>0</v>
      </c>
    </row>
    <row r="84" spans="1:24" ht="20.100000000000001" customHeight="1" x14ac:dyDescent="0.15">
      <c r="A84" s="7">
        <v>15722</v>
      </c>
      <c r="B84" s="11" t="s">
        <v>117</v>
      </c>
      <c r="C84" s="11" t="s">
        <v>156</v>
      </c>
      <c r="D84" s="17" t="s">
        <v>227</v>
      </c>
      <c r="E84" s="15" t="s">
        <v>244</v>
      </c>
      <c r="F84" s="11">
        <v>0</v>
      </c>
      <c r="G84" s="12">
        <v>0</v>
      </c>
      <c r="H84" s="12">
        <v>0</v>
      </c>
      <c r="I84" s="12">
        <v>120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0.05</v>
      </c>
      <c r="Q84" s="12">
        <v>0</v>
      </c>
      <c r="R84" s="12">
        <v>0</v>
      </c>
      <c r="S84" s="12">
        <v>0</v>
      </c>
      <c r="T84" s="12">
        <v>0</v>
      </c>
      <c r="U84" s="13">
        <v>0</v>
      </c>
      <c r="V84" s="7">
        <v>0</v>
      </c>
      <c r="W84" s="7">
        <v>0</v>
      </c>
      <c r="X84" s="7">
        <v>0</v>
      </c>
    </row>
    <row r="85" spans="1:24" ht="20.100000000000001" customHeight="1" x14ac:dyDescent="0.15">
      <c r="A85" s="7">
        <v>15723</v>
      </c>
      <c r="B85" s="11" t="s">
        <v>118</v>
      </c>
      <c r="C85" s="11" t="s">
        <v>156</v>
      </c>
      <c r="D85" s="11" t="s">
        <v>114</v>
      </c>
      <c r="E85" s="15" t="s">
        <v>253</v>
      </c>
      <c r="F85" s="11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0.05</v>
      </c>
      <c r="Q85" s="12">
        <v>0</v>
      </c>
      <c r="R85" s="12">
        <v>0</v>
      </c>
      <c r="S85" s="12">
        <v>0.05</v>
      </c>
      <c r="T85" s="12">
        <v>0</v>
      </c>
      <c r="U85" s="13">
        <v>0</v>
      </c>
      <c r="V85" s="7">
        <v>0</v>
      </c>
      <c r="W85" s="7">
        <v>0</v>
      </c>
      <c r="X85" s="7">
        <v>0</v>
      </c>
    </row>
    <row r="86" spans="1:24" ht="20.100000000000001" customHeight="1" x14ac:dyDescent="0.15">
      <c r="A86" s="7">
        <v>15731</v>
      </c>
      <c r="B86" s="11" t="s">
        <v>119</v>
      </c>
      <c r="C86" s="11" t="s">
        <v>156</v>
      </c>
      <c r="D86" s="17" t="s">
        <v>224</v>
      </c>
      <c r="E86" s="15" t="s">
        <v>252</v>
      </c>
      <c r="F86" s="11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80</v>
      </c>
      <c r="M86" s="12">
        <v>120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0.05</v>
      </c>
      <c r="U86" s="13">
        <v>0</v>
      </c>
      <c r="V86" s="7">
        <v>0</v>
      </c>
      <c r="W86" s="7">
        <v>0</v>
      </c>
      <c r="X86" s="7">
        <v>0</v>
      </c>
    </row>
    <row r="87" spans="1:24" ht="20.100000000000001" customHeight="1" x14ac:dyDescent="0.15">
      <c r="A87" s="7">
        <v>15741</v>
      </c>
      <c r="B87" s="11" t="s">
        <v>120</v>
      </c>
      <c r="C87" s="11" t="s">
        <v>156</v>
      </c>
      <c r="D87" s="17" t="s">
        <v>225</v>
      </c>
      <c r="E87" s="15" t="s">
        <v>192</v>
      </c>
      <c r="F87" s="11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80</v>
      </c>
      <c r="O87" s="12">
        <v>120</v>
      </c>
      <c r="P87" s="12">
        <v>0</v>
      </c>
      <c r="Q87" s="12">
        <v>0</v>
      </c>
      <c r="R87" s="12">
        <v>0</v>
      </c>
      <c r="S87" s="12">
        <v>0.05</v>
      </c>
      <c r="T87" s="12">
        <v>0</v>
      </c>
      <c r="U87" s="13">
        <v>0</v>
      </c>
      <c r="V87" s="7">
        <v>0</v>
      </c>
      <c r="W87" s="7">
        <v>0</v>
      </c>
      <c r="X87" s="7">
        <v>0</v>
      </c>
    </row>
    <row r="88" spans="1:24" ht="20.100000000000001" customHeight="1" x14ac:dyDescent="0.15">
      <c r="A88" s="7">
        <v>15811</v>
      </c>
      <c r="B88" s="11" t="s">
        <v>235</v>
      </c>
      <c r="C88" s="11" t="s">
        <v>156</v>
      </c>
      <c r="D88" s="17" t="s">
        <v>241</v>
      </c>
      <c r="E88" s="15" t="s">
        <v>242</v>
      </c>
      <c r="F88" s="11">
        <v>0</v>
      </c>
      <c r="G88" s="12">
        <v>0</v>
      </c>
      <c r="H88" s="12">
        <v>0</v>
      </c>
      <c r="I88" s="12">
        <v>180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0.05</v>
      </c>
      <c r="R88" s="12">
        <v>0</v>
      </c>
      <c r="S88" s="12">
        <v>0</v>
      </c>
      <c r="T88" s="12">
        <v>0</v>
      </c>
      <c r="U88" s="13">
        <v>0</v>
      </c>
      <c r="V88" s="7">
        <v>0</v>
      </c>
      <c r="W88" s="7">
        <v>0</v>
      </c>
      <c r="X88" s="7">
        <v>0</v>
      </c>
    </row>
    <row r="89" spans="1:24" ht="20.100000000000001" customHeight="1" x14ac:dyDescent="0.15">
      <c r="A89" s="7">
        <v>15821</v>
      </c>
      <c r="B89" s="11" t="s">
        <v>236</v>
      </c>
      <c r="C89" s="11" t="s">
        <v>156</v>
      </c>
      <c r="D89" s="17" t="s">
        <v>245</v>
      </c>
      <c r="E89" s="15" t="s">
        <v>246</v>
      </c>
      <c r="F89" s="11">
        <v>0</v>
      </c>
      <c r="G89" s="12">
        <v>0</v>
      </c>
      <c r="H89" s="12">
        <v>0</v>
      </c>
      <c r="I89" s="12">
        <v>640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3">
        <v>0</v>
      </c>
      <c r="V89" s="7">
        <v>0</v>
      </c>
      <c r="W89" s="7">
        <v>0</v>
      </c>
      <c r="X89" s="7">
        <v>0</v>
      </c>
    </row>
    <row r="90" spans="1:24" ht="20.100000000000001" customHeight="1" x14ac:dyDescent="0.15">
      <c r="A90" s="7">
        <v>15822</v>
      </c>
      <c r="B90" s="11" t="s">
        <v>237</v>
      </c>
      <c r="C90" s="11" t="s">
        <v>156</v>
      </c>
      <c r="D90" s="17" t="s">
        <v>247</v>
      </c>
      <c r="E90" s="15" t="s">
        <v>248</v>
      </c>
      <c r="F90" s="11">
        <v>0</v>
      </c>
      <c r="G90" s="12">
        <v>0</v>
      </c>
      <c r="H90" s="12">
        <v>0</v>
      </c>
      <c r="I90" s="12">
        <v>180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0.05</v>
      </c>
      <c r="Q90" s="12">
        <v>0</v>
      </c>
      <c r="R90" s="12">
        <v>0</v>
      </c>
      <c r="S90" s="12">
        <v>0</v>
      </c>
      <c r="T90" s="12">
        <v>0</v>
      </c>
      <c r="U90" s="13">
        <v>0</v>
      </c>
      <c r="V90" s="7">
        <v>0</v>
      </c>
      <c r="W90" s="7">
        <v>0</v>
      </c>
      <c r="X90" s="7">
        <v>0</v>
      </c>
    </row>
    <row r="91" spans="1:24" ht="20.100000000000001" customHeight="1" x14ac:dyDescent="0.15">
      <c r="A91" s="7">
        <v>15823</v>
      </c>
      <c r="B91" s="11" t="s">
        <v>238</v>
      </c>
      <c r="C91" s="11" t="s">
        <v>156</v>
      </c>
      <c r="D91" s="11" t="s">
        <v>114</v>
      </c>
      <c r="E91" s="7" t="s">
        <v>186</v>
      </c>
      <c r="F91" s="11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0.05</v>
      </c>
      <c r="Q91" s="12">
        <v>0</v>
      </c>
      <c r="R91" s="12">
        <v>0</v>
      </c>
      <c r="S91" s="12">
        <v>0.05</v>
      </c>
      <c r="T91" s="12">
        <v>0</v>
      </c>
      <c r="U91" s="13">
        <v>0</v>
      </c>
      <c r="V91" s="7">
        <v>0</v>
      </c>
      <c r="W91" s="7">
        <v>0</v>
      </c>
      <c r="X91" s="7">
        <v>0</v>
      </c>
    </row>
    <row r="92" spans="1:24" ht="20.100000000000001" customHeight="1" x14ac:dyDescent="0.15">
      <c r="A92" s="7">
        <v>15831</v>
      </c>
      <c r="B92" s="11" t="s">
        <v>239</v>
      </c>
      <c r="C92" s="11" t="s">
        <v>156</v>
      </c>
      <c r="D92" s="17" t="s">
        <v>249</v>
      </c>
      <c r="E92" s="15" t="s">
        <v>251</v>
      </c>
      <c r="F92" s="11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120</v>
      </c>
      <c r="M92" s="12">
        <v>180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0.05</v>
      </c>
      <c r="U92" s="13">
        <v>0</v>
      </c>
      <c r="V92" s="7">
        <v>0</v>
      </c>
      <c r="W92" s="7">
        <v>0</v>
      </c>
      <c r="X92" s="7">
        <v>0</v>
      </c>
    </row>
    <row r="93" spans="1:24" ht="20.100000000000001" customHeight="1" x14ac:dyDescent="0.15">
      <c r="A93" s="7">
        <v>15841</v>
      </c>
      <c r="B93" s="11" t="s">
        <v>240</v>
      </c>
      <c r="C93" s="11" t="s">
        <v>156</v>
      </c>
      <c r="D93" s="17" t="s">
        <v>250</v>
      </c>
      <c r="E93" s="15" t="s">
        <v>192</v>
      </c>
      <c r="F93" s="11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120</v>
      </c>
      <c r="O93" s="12">
        <v>180</v>
      </c>
      <c r="P93" s="12">
        <v>0</v>
      </c>
      <c r="Q93" s="12">
        <v>0</v>
      </c>
      <c r="R93" s="12">
        <v>0</v>
      </c>
      <c r="S93" s="12">
        <v>0.05</v>
      </c>
      <c r="T93" s="12">
        <v>0</v>
      </c>
      <c r="U93" s="13">
        <v>0</v>
      </c>
      <c r="V93" s="7">
        <v>0</v>
      </c>
      <c r="W93" s="7">
        <v>0</v>
      </c>
      <c r="X93" s="7">
        <v>0</v>
      </c>
    </row>
    <row r="94" spans="1:24" ht="20.100000000000001" customHeight="1" x14ac:dyDescent="0.15">
      <c r="A94" s="7">
        <v>16011</v>
      </c>
      <c r="B94" s="17" t="s">
        <v>193</v>
      </c>
      <c r="C94" s="11" t="s">
        <v>156</v>
      </c>
      <c r="D94" s="17" t="s">
        <v>194</v>
      </c>
      <c r="E94" s="7" t="s">
        <v>258</v>
      </c>
      <c r="F94" s="11">
        <v>0</v>
      </c>
      <c r="G94" s="12">
        <v>0</v>
      </c>
      <c r="H94" s="12">
        <v>80</v>
      </c>
      <c r="I94" s="12">
        <v>80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3">
        <v>0</v>
      </c>
      <c r="V94" s="7">
        <v>0</v>
      </c>
      <c r="W94" s="7">
        <v>0</v>
      </c>
      <c r="X94" s="15" t="s">
        <v>197</v>
      </c>
    </row>
    <row r="95" spans="1:24" ht="20.100000000000001" customHeight="1" x14ac:dyDescent="0.15">
      <c r="A95" s="7">
        <v>16012</v>
      </c>
      <c r="B95" s="17" t="s">
        <v>193</v>
      </c>
      <c r="C95" s="11" t="s">
        <v>156</v>
      </c>
      <c r="D95" s="17" t="s">
        <v>195</v>
      </c>
      <c r="E95" s="7" t="s">
        <v>259</v>
      </c>
      <c r="F95" s="11">
        <v>0</v>
      </c>
      <c r="G95" s="12">
        <v>0</v>
      </c>
      <c r="H95" s="12">
        <v>0</v>
      </c>
      <c r="I95" s="12">
        <v>0</v>
      </c>
      <c r="J95" s="12">
        <v>80</v>
      </c>
      <c r="K95" s="12">
        <v>80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3">
        <v>0</v>
      </c>
      <c r="V95" s="7">
        <v>0</v>
      </c>
      <c r="W95" s="7">
        <v>0</v>
      </c>
      <c r="X95" s="15" t="s">
        <v>198</v>
      </c>
    </row>
    <row r="96" spans="1:24" ht="20.100000000000001" customHeight="1" x14ac:dyDescent="0.15">
      <c r="A96" s="7">
        <v>16013</v>
      </c>
      <c r="B96" s="17" t="s">
        <v>193</v>
      </c>
      <c r="C96" s="11" t="s">
        <v>156</v>
      </c>
      <c r="D96" s="17" t="s">
        <v>214</v>
      </c>
      <c r="E96" s="7" t="s">
        <v>260</v>
      </c>
      <c r="F96" s="11">
        <v>0</v>
      </c>
      <c r="G96" s="12">
        <v>360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3">
        <v>0</v>
      </c>
      <c r="V96" s="7">
        <v>0</v>
      </c>
      <c r="W96" s="7">
        <v>0</v>
      </c>
      <c r="X96" s="15" t="s">
        <v>196</v>
      </c>
    </row>
    <row r="97" spans="1:24" ht="20.100000000000001" customHeight="1" x14ac:dyDescent="0.15">
      <c r="A97" s="7">
        <v>16021</v>
      </c>
      <c r="B97" s="17" t="s">
        <v>193</v>
      </c>
      <c r="C97" s="11" t="s">
        <v>156</v>
      </c>
      <c r="D97" s="17" t="s">
        <v>211</v>
      </c>
      <c r="E97" s="7" t="s">
        <v>261</v>
      </c>
      <c r="F97" s="11">
        <v>0</v>
      </c>
      <c r="G97" s="12">
        <v>0</v>
      </c>
      <c r="H97" s="12">
        <v>120</v>
      </c>
      <c r="I97" s="12">
        <v>120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3">
        <v>0</v>
      </c>
      <c r="V97" s="7">
        <v>0</v>
      </c>
      <c r="W97" s="7">
        <v>0</v>
      </c>
      <c r="X97" s="15" t="s">
        <v>199</v>
      </c>
    </row>
    <row r="98" spans="1:24" ht="20.100000000000001" customHeight="1" x14ac:dyDescent="0.15">
      <c r="A98" s="7">
        <v>16022</v>
      </c>
      <c r="B98" s="17" t="s">
        <v>193</v>
      </c>
      <c r="C98" s="11" t="s">
        <v>156</v>
      </c>
      <c r="D98" s="17" t="s">
        <v>212</v>
      </c>
      <c r="E98" s="7" t="s">
        <v>262</v>
      </c>
      <c r="F98" s="11">
        <v>0</v>
      </c>
      <c r="G98" s="12">
        <v>0</v>
      </c>
      <c r="H98" s="12">
        <v>0</v>
      </c>
      <c r="I98" s="12">
        <v>0</v>
      </c>
      <c r="J98" s="12">
        <v>120</v>
      </c>
      <c r="K98" s="12">
        <v>120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3">
        <v>0</v>
      </c>
      <c r="V98" s="7">
        <v>0</v>
      </c>
      <c r="W98" s="7">
        <v>0</v>
      </c>
      <c r="X98" s="15" t="s">
        <v>200</v>
      </c>
    </row>
    <row r="99" spans="1:24" ht="20.100000000000001" customHeight="1" x14ac:dyDescent="0.15">
      <c r="A99" s="7">
        <v>16023</v>
      </c>
      <c r="B99" s="17" t="s">
        <v>193</v>
      </c>
      <c r="C99" s="11" t="s">
        <v>156</v>
      </c>
      <c r="D99" s="17" t="s">
        <v>213</v>
      </c>
      <c r="E99" s="7" t="s">
        <v>263</v>
      </c>
      <c r="F99" s="11">
        <v>0</v>
      </c>
      <c r="G99" s="12">
        <v>540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3">
        <v>0</v>
      </c>
      <c r="V99" s="7">
        <v>0</v>
      </c>
      <c r="W99" s="7">
        <v>0</v>
      </c>
      <c r="X99" s="15" t="s">
        <v>201</v>
      </c>
    </row>
    <row r="100" spans="1:24" ht="20.100000000000001" customHeight="1" x14ac:dyDescent="0.15">
      <c r="A100" s="7">
        <v>16031</v>
      </c>
      <c r="B100" s="17" t="s">
        <v>193</v>
      </c>
      <c r="C100" s="11" t="s">
        <v>156</v>
      </c>
      <c r="D100" s="17" t="s">
        <v>215</v>
      </c>
      <c r="E100" s="7" t="s">
        <v>264</v>
      </c>
      <c r="F100" s="11">
        <v>0</v>
      </c>
      <c r="G100" s="12">
        <v>0</v>
      </c>
      <c r="H100" s="12">
        <v>160</v>
      </c>
      <c r="I100" s="12">
        <v>160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3">
        <v>0</v>
      </c>
      <c r="V100" s="7">
        <v>0</v>
      </c>
      <c r="W100" s="7">
        <v>0</v>
      </c>
      <c r="X100" s="15" t="s">
        <v>202</v>
      </c>
    </row>
    <row r="101" spans="1:24" ht="20.100000000000001" customHeight="1" x14ac:dyDescent="0.15">
      <c r="A101" s="7">
        <v>16032</v>
      </c>
      <c r="B101" s="17" t="s">
        <v>193</v>
      </c>
      <c r="C101" s="11" t="s">
        <v>156</v>
      </c>
      <c r="D101" s="17" t="s">
        <v>216</v>
      </c>
      <c r="E101" s="7" t="s">
        <v>265</v>
      </c>
      <c r="F101" s="11">
        <v>0</v>
      </c>
      <c r="G101" s="12">
        <v>0</v>
      </c>
      <c r="H101" s="12">
        <v>0</v>
      </c>
      <c r="I101" s="12">
        <v>0</v>
      </c>
      <c r="J101" s="12">
        <v>160</v>
      </c>
      <c r="K101" s="12">
        <v>160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3">
        <v>0</v>
      </c>
      <c r="V101" s="7">
        <v>0</v>
      </c>
      <c r="W101" s="7">
        <v>0</v>
      </c>
      <c r="X101" s="15" t="s">
        <v>203</v>
      </c>
    </row>
    <row r="102" spans="1:24" ht="20.100000000000001" customHeight="1" x14ac:dyDescent="0.15">
      <c r="A102" s="7">
        <v>16033</v>
      </c>
      <c r="B102" s="17" t="s">
        <v>193</v>
      </c>
      <c r="C102" s="11" t="s">
        <v>156</v>
      </c>
      <c r="D102" s="17" t="s">
        <v>217</v>
      </c>
      <c r="E102" s="7" t="s">
        <v>266</v>
      </c>
      <c r="F102" s="11">
        <v>0</v>
      </c>
      <c r="G102" s="12">
        <v>720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3">
        <v>0</v>
      </c>
      <c r="V102" s="7">
        <v>0</v>
      </c>
      <c r="W102" s="7">
        <v>0</v>
      </c>
      <c r="X102" s="15" t="s">
        <v>204</v>
      </c>
    </row>
    <row r="103" spans="1:24" ht="20.100000000000001" customHeight="1" x14ac:dyDescent="0.15">
      <c r="A103" s="7">
        <v>16041</v>
      </c>
      <c r="B103" s="17" t="s">
        <v>193</v>
      </c>
      <c r="C103" s="11" t="s">
        <v>156</v>
      </c>
      <c r="D103" s="17" t="s">
        <v>218</v>
      </c>
      <c r="E103" s="7" t="s">
        <v>267</v>
      </c>
      <c r="F103" s="11">
        <v>0</v>
      </c>
      <c r="G103" s="12">
        <v>0</v>
      </c>
      <c r="H103" s="12">
        <v>200</v>
      </c>
      <c r="I103" s="12">
        <v>200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3">
        <v>0</v>
      </c>
      <c r="V103" s="7">
        <v>0</v>
      </c>
      <c r="W103" s="7">
        <v>0</v>
      </c>
      <c r="X103" s="15" t="s">
        <v>205</v>
      </c>
    </row>
    <row r="104" spans="1:24" ht="20.100000000000001" customHeight="1" x14ac:dyDescent="0.15">
      <c r="A104" s="7">
        <v>16042</v>
      </c>
      <c r="B104" s="17" t="s">
        <v>193</v>
      </c>
      <c r="C104" s="11" t="s">
        <v>156</v>
      </c>
      <c r="D104" s="17" t="s">
        <v>219</v>
      </c>
      <c r="E104" s="7" t="s">
        <v>268</v>
      </c>
      <c r="F104" s="11">
        <v>0</v>
      </c>
      <c r="G104" s="12">
        <v>0</v>
      </c>
      <c r="H104" s="12">
        <v>0</v>
      </c>
      <c r="I104" s="12">
        <v>0</v>
      </c>
      <c r="J104" s="12">
        <v>200</v>
      </c>
      <c r="K104" s="12">
        <v>200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3">
        <v>0</v>
      </c>
      <c r="V104" s="7">
        <v>0</v>
      </c>
      <c r="W104" s="7">
        <v>0</v>
      </c>
      <c r="X104" s="15" t="s">
        <v>206</v>
      </c>
    </row>
    <row r="105" spans="1:24" ht="20.100000000000001" customHeight="1" x14ac:dyDescent="0.15">
      <c r="A105" s="7">
        <v>16043</v>
      </c>
      <c r="B105" s="17" t="s">
        <v>193</v>
      </c>
      <c r="C105" s="11" t="s">
        <v>156</v>
      </c>
      <c r="D105" s="17" t="s">
        <v>220</v>
      </c>
      <c r="E105" s="7" t="s">
        <v>269</v>
      </c>
      <c r="F105" s="11">
        <v>0</v>
      </c>
      <c r="G105" s="12">
        <v>900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3">
        <v>0</v>
      </c>
      <c r="V105" s="7">
        <v>0</v>
      </c>
      <c r="W105" s="7">
        <v>0</v>
      </c>
      <c r="X105" s="15" t="s">
        <v>207</v>
      </c>
    </row>
    <row r="106" spans="1:24" ht="20.100000000000001" customHeight="1" x14ac:dyDescent="0.15">
      <c r="A106" s="7">
        <v>16051</v>
      </c>
      <c r="B106" s="17" t="s">
        <v>193</v>
      </c>
      <c r="C106" s="11" t="s">
        <v>156</v>
      </c>
      <c r="D106" s="17" t="s">
        <v>222</v>
      </c>
      <c r="E106" s="7" t="s">
        <v>270</v>
      </c>
      <c r="F106" s="11">
        <v>0</v>
      </c>
      <c r="G106" s="12">
        <v>0</v>
      </c>
      <c r="H106" s="12">
        <v>240</v>
      </c>
      <c r="I106" s="12">
        <v>240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3">
        <v>0</v>
      </c>
      <c r="V106" s="7">
        <v>0</v>
      </c>
      <c r="W106" s="7">
        <v>0</v>
      </c>
      <c r="X106" s="15" t="s">
        <v>208</v>
      </c>
    </row>
    <row r="107" spans="1:24" ht="20.100000000000001" customHeight="1" x14ac:dyDescent="0.15">
      <c r="A107" s="7">
        <v>16052</v>
      </c>
      <c r="B107" s="17" t="s">
        <v>193</v>
      </c>
      <c r="C107" s="11" t="s">
        <v>156</v>
      </c>
      <c r="D107" s="17" t="s">
        <v>223</v>
      </c>
      <c r="E107" s="7" t="s">
        <v>271</v>
      </c>
      <c r="F107" s="11">
        <v>0</v>
      </c>
      <c r="G107" s="12">
        <v>0</v>
      </c>
      <c r="H107" s="12">
        <v>0</v>
      </c>
      <c r="I107" s="12">
        <v>0</v>
      </c>
      <c r="J107" s="12">
        <v>240</v>
      </c>
      <c r="K107" s="12">
        <v>240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3">
        <v>0</v>
      </c>
      <c r="V107" s="7">
        <v>0</v>
      </c>
      <c r="W107" s="7">
        <v>0</v>
      </c>
      <c r="X107" s="15" t="s">
        <v>209</v>
      </c>
    </row>
    <row r="108" spans="1:24" ht="20.100000000000001" customHeight="1" x14ac:dyDescent="0.15">
      <c r="A108" s="7">
        <v>16053</v>
      </c>
      <c r="B108" s="17" t="s">
        <v>193</v>
      </c>
      <c r="C108" s="11" t="s">
        <v>156</v>
      </c>
      <c r="D108" s="17" t="s">
        <v>221</v>
      </c>
      <c r="E108" s="7" t="s">
        <v>272</v>
      </c>
      <c r="F108" s="11">
        <v>0</v>
      </c>
      <c r="G108" s="12">
        <v>1080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3">
        <v>0</v>
      </c>
      <c r="V108" s="7">
        <v>0</v>
      </c>
      <c r="W108" s="7">
        <v>0</v>
      </c>
      <c r="X108" s="15" t="s">
        <v>210</v>
      </c>
    </row>
    <row r="109" spans="1:24" ht="20.100000000000001" customHeight="1" x14ac:dyDescent="0.15">
      <c r="A109" s="7">
        <v>16061</v>
      </c>
      <c r="B109" s="17" t="s">
        <v>193</v>
      </c>
      <c r="C109" s="11" t="s">
        <v>156</v>
      </c>
      <c r="D109" s="17" t="s">
        <v>232</v>
      </c>
      <c r="E109" s="7" t="s">
        <v>273</v>
      </c>
      <c r="F109" s="11">
        <v>0</v>
      </c>
      <c r="G109" s="12">
        <v>0</v>
      </c>
      <c r="H109" s="12">
        <v>320</v>
      </c>
      <c r="I109" s="12">
        <v>320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3">
        <v>0</v>
      </c>
      <c r="V109" s="7">
        <v>0</v>
      </c>
      <c r="W109" s="7">
        <v>0</v>
      </c>
      <c r="X109" s="15" t="s">
        <v>229</v>
      </c>
    </row>
    <row r="110" spans="1:24" ht="20.100000000000001" customHeight="1" x14ac:dyDescent="0.15">
      <c r="A110" s="7">
        <v>16062</v>
      </c>
      <c r="B110" s="17" t="s">
        <v>193</v>
      </c>
      <c r="C110" s="11" t="s">
        <v>156</v>
      </c>
      <c r="D110" s="17" t="s">
        <v>233</v>
      </c>
      <c r="E110" s="7" t="s">
        <v>274</v>
      </c>
      <c r="F110" s="11">
        <v>0</v>
      </c>
      <c r="G110" s="12">
        <v>0</v>
      </c>
      <c r="H110" s="12">
        <v>0</v>
      </c>
      <c r="I110" s="12">
        <v>0</v>
      </c>
      <c r="J110" s="12">
        <v>320</v>
      </c>
      <c r="K110" s="12">
        <v>320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3">
        <v>0</v>
      </c>
      <c r="V110" s="7">
        <v>0</v>
      </c>
      <c r="W110" s="7">
        <v>0</v>
      </c>
      <c r="X110" s="15" t="s">
        <v>230</v>
      </c>
    </row>
    <row r="111" spans="1:24" ht="20.100000000000001" customHeight="1" x14ac:dyDescent="0.15">
      <c r="A111" s="7">
        <v>16063</v>
      </c>
      <c r="B111" s="17" t="s">
        <v>193</v>
      </c>
      <c r="C111" s="11" t="s">
        <v>156</v>
      </c>
      <c r="D111" s="17" t="s">
        <v>234</v>
      </c>
      <c r="E111" s="7" t="s">
        <v>275</v>
      </c>
      <c r="F111" s="11">
        <v>0</v>
      </c>
      <c r="G111" s="12">
        <v>1440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3">
        <v>0</v>
      </c>
      <c r="V111" s="7">
        <v>0</v>
      </c>
      <c r="W111" s="7">
        <v>0</v>
      </c>
      <c r="X111" s="15" t="s">
        <v>231</v>
      </c>
    </row>
  </sheetData>
  <phoneticPr fontId="11" type="noConversion"/>
  <pageMargins left="0.69930555555555596" right="0.69930555555555596" top="0.75" bottom="0.75" header="0.3" footer="0.3"/>
  <pageSetup paperSize="9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2006-09-16T08:00:00Z</dcterms:created>
  <dcterms:modified xsi:type="dcterms:W3CDTF">2026-06-29T08:55:23Z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2052-1.5.2.2273</vt:lpwstr>
  </property>
</Properties>
</file>
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nnections.xml" ContentType="application/vnd.openxmlformats-officedocument.spreadsheetml.connection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860"/>
  </bookViews>
  <sheets>
    <sheet name="Sheet1" sheetId="1" r:id="rId1"/>
    <sheet name="Sheet2" sheetId="2" r:id="rId2"/>
    <sheet name="Sheet3" sheetId="3" r:id="rId3"/>
  </sheets>
  <calcPr calcId="144525"/>
</workbook>
</file>

<file path=xl/comments1.xml><?xml version="1.0" encoding="utf-8"?>
<comments xmlns="http://schemas.openxmlformats.org/spreadsheetml/2006/main">
  <authors>
    <author>作者</author>
  </authors>
  <commentList>
    <comment ref="C1" authorId="0">
      <text>
        <r>
          <rPr>
            <b/>
            <sz val="9"/>
            <rFont val="Tahoma"/>
            <charset val="134"/>
          </rPr>
          <t>作者:</t>
        </r>
        <r>
          <rPr>
            <sz val="9"/>
            <rFont val="Tahoma"/>
            <charset val="134"/>
          </rPr>
          <t xml:space="preserve">
1</t>
        </r>
        <r>
          <rPr>
            <sz val="9"/>
            <rFont val="宋体"/>
            <charset val="134"/>
          </rPr>
          <t xml:space="preserve">：表示触发
</t>
        </r>
        <r>
          <rPr>
            <sz val="9"/>
            <rFont val="Tahoma"/>
            <charset val="134"/>
          </rPr>
          <t>0</t>
        </r>
        <r>
          <rPr>
            <sz val="9"/>
            <rFont val="宋体"/>
            <charset val="134"/>
          </rPr>
          <t>：表示不触发</t>
        </r>
      </text>
    </comment>
    <comment ref="D1" authorId="0">
      <text>
        <r>
          <rPr>
            <b/>
            <sz val="9"/>
            <rFont val="宋体"/>
            <charset val="134"/>
          </rPr>
          <t>作者:</t>
        </r>
        <r>
          <rPr>
            <sz val="9"/>
            <rFont val="宋体"/>
            <charset val="134"/>
          </rPr>
          <t xml:space="preserve">
黑屏出现的背景</t>
        </r>
      </text>
    </comment>
    <comment ref="E1" authorId="0">
      <text>
        <r>
          <rPr>
            <b/>
            <sz val="9"/>
            <rFont val="Tahoma"/>
            <charset val="134"/>
          </rPr>
          <t>作者:</t>
        </r>
        <r>
          <rPr>
            <sz val="9"/>
            <rFont val="Tahoma"/>
            <charset val="134"/>
          </rPr>
          <t xml:space="preserve">
1</t>
        </r>
        <r>
          <rPr>
            <sz val="9"/>
            <rFont val="宋体"/>
            <charset val="134"/>
          </rPr>
          <t xml:space="preserve">：点击才消失
</t>
        </r>
        <r>
          <rPr>
            <sz val="9"/>
            <rFont val="Tahoma"/>
            <charset val="134"/>
          </rPr>
          <t>2</t>
        </r>
        <r>
          <rPr>
            <sz val="9"/>
            <rFont val="宋体"/>
            <charset val="134"/>
          </rPr>
          <t>：持续时间消失</t>
        </r>
      </text>
    </comment>
    <comment ref="F1" authorId="0">
      <text>
        <r>
          <rPr>
            <b/>
            <sz val="9"/>
            <rFont val="宋体"/>
            <charset val="134"/>
          </rPr>
          <t>作者:</t>
        </r>
        <r>
          <rPr>
            <sz val="9"/>
            <rFont val="宋体"/>
            <charset val="134"/>
          </rPr>
          <t xml:space="preserve">
只有前面的显示背景方式为</t>
        </r>
        <r>
          <rPr>
            <sz val="9"/>
            <rFont val="Tahoma"/>
            <charset val="134"/>
          </rPr>
          <t>2</t>
        </r>
        <r>
          <rPr>
            <sz val="9"/>
            <rFont val="宋体"/>
            <charset val="134"/>
          </rPr>
          <t>此字段才有效</t>
        </r>
        <r>
          <rPr>
            <sz val="9"/>
            <rFont val="Tahoma"/>
            <charset val="134"/>
          </rPr>
          <t>,</t>
        </r>
        <r>
          <rPr>
            <sz val="9"/>
            <rFont val="宋体"/>
            <charset val="134"/>
          </rPr>
          <t>表示显示多长时间</t>
        </r>
      </text>
    </comment>
    <comment ref="G1" authorId="0">
      <text>
        <r>
          <rPr>
            <b/>
            <sz val="9"/>
            <rFont val="Tahoma"/>
            <charset val="134"/>
          </rPr>
          <t>作者:</t>
        </r>
        <r>
          <rPr>
            <sz val="9"/>
            <rFont val="Tahoma"/>
            <charset val="134"/>
          </rPr>
          <t xml:space="preserve">
1</t>
        </r>
        <r>
          <rPr>
            <sz val="9"/>
            <rFont val="宋体"/>
            <charset val="134"/>
          </rPr>
          <t xml:space="preserve">：触发
</t>
        </r>
        <r>
          <rPr>
            <sz val="9"/>
            <rFont val="Tahoma"/>
            <charset val="134"/>
          </rPr>
          <t>0</t>
        </r>
        <r>
          <rPr>
            <sz val="9"/>
            <rFont val="宋体"/>
            <charset val="134"/>
          </rPr>
          <t>：不触发</t>
        </r>
      </text>
    </comment>
    <comment ref="H1" authorId="0">
      <text>
        <r>
          <rPr>
            <b/>
            <sz val="9"/>
            <rFont val="Tahoma"/>
            <charset val="134"/>
          </rPr>
          <t>作者:</t>
        </r>
        <r>
          <rPr>
            <sz val="9"/>
            <rFont val="Tahoma"/>
            <charset val="134"/>
          </rPr>
          <t xml:space="preserve">
1</t>
        </r>
        <r>
          <rPr>
            <sz val="9"/>
            <rFont val="宋体"/>
            <charset val="134"/>
          </rPr>
          <t xml:space="preserve">：触发
</t>
        </r>
        <r>
          <rPr>
            <sz val="9"/>
            <rFont val="Tahoma"/>
            <charset val="134"/>
          </rPr>
          <t>0</t>
        </r>
        <r>
          <rPr>
            <sz val="9"/>
            <rFont val="宋体"/>
            <charset val="134"/>
          </rPr>
          <t>：不触发</t>
        </r>
      </text>
    </comment>
    <comment ref="P1" authorId="0">
      <text>
        <r>
          <rPr>
            <b/>
            <sz val="9"/>
            <rFont val="宋体"/>
            <charset val="134"/>
          </rPr>
          <t>作者:</t>
        </r>
        <r>
          <rPr>
            <sz val="9"/>
            <rFont val="宋体"/>
            <charset val="134"/>
          </rPr>
          <t xml:space="preserve">
当对应出现问答的那一句出现</t>
        </r>
      </text>
    </comment>
    <comment ref="Q1" authorId="0">
      <text>
        <r>
          <rPr>
            <b/>
            <sz val="9"/>
            <rFont val="宋体"/>
            <charset val="134"/>
          </rPr>
          <t>作者:</t>
        </r>
        <r>
          <rPr>
            <sz val="9"/>
            <rFont val="宋体"/>
            <charset val="134"/>
          </rPr>
          <t xml:space="preserve">
当对应出现问答的那一句出现</t>
        </r>
      </text>
    </comment>
    <comment ref="T1" authorId="0">
      <text>
        <r>
          <rPr>
            <b/>
            <sz val="9"/>
            <rFont val="宋体"/>
            <charset val="134"/>
          </rPr>
          <t>作者:</t>
        </r>
        <r>
          <rPr>
            <sz val="9"/>
            <rFont val="宋体"/>
            <charset val="134"/>
          </rPr>
          <t xml:space="preserve">
奖励道具ID,数量
多个奖励分号间隔
1:金币
2:经验</t>
        </r>
      </text>
    </comment>
    <comment ref="U1" authorId="0">
      <text>
        <r>
          <rPr>
            <b/>
            <sz val="9"/>
            <rFont val="宋体"/>
            <charset val="134"/>
          </rPr>
          <t>作者:</t>
        </r>
        <r>
          <rPr>
            <sz val="9"/>
            <rFont val="宋体"/>
            <charset val="134"/>
          </rPr>
          <t xml:space="preserve">
当对应出现问答的那一句出现</t>
        </r>
      </text>
    </comment>
    <comment ref="V1" authorId="0">
      <text>
        <r>
          <rPr>
            <b/>
            <sz val="9"/>
            <rFont val="宋体"/>
            <charset val="134"/>
          </rPr>
          <t>作者:</t>
        </r>
        <r>
          <rPr>
            <sz val="9"/>
            <rFont val="宋体"/>
            <charset val="134"/>
          </rPr>
          <t xml:space="preserve">
奖励道具ID,数量
多个奖励分号间隔</t>
        </r>
      </text>
    </comment>
    <comment ref="W1" authorId="0">
      <text>
        <r>
          <rPr>
            <b/>
            <sz val="9"/>
            <rFont val="宋体"/>
            <charset val="134"/>
          </rPr>
          <t>作者:</t>
        </r>
        <r>
          <rPr>
            <sz val="9"/>
            <rFont val="宋体"/>
            <charset val="134"/>
          </rPr>
          <t xml:space="preserve">
当对应出现问答的那一句出现</t>
        </r>
      </text>
    </comment>
  </commentList>
</comments>
</file>

<file path=xl/connections.xml><?xml version="1.0" encoding="utf-8"?>
<connections xmlns="http://schemas.openxmlformats.org/spreadsheetml/2006/main">
  <connection id="1" name="Item_Template" type="4" background="1" refreshedVersion="2" saveData="1">
    <webPr parsePre="1" consecutive="1" xl2000="1" sourceData="1" xml="1" url="D:\SVN_Work\S_数据表\XML映射模版\Item_Template.xml" htmlFormat="all" htmlTables="1"/>
  </connection>
  <connection id="2" name="Item_Template1" type="4" background="1" refreshedVersion="2" saveData="1">
    <webPr parsePre="1" consecutive="1" xl2000="1" sourceData="1" xml="1" url="D:\SVN_Work\S_数据表\XML映射模版\Item_Template.xml" htmlFormat="all" htmlTables="1"/>
  </connection>
</connections>
</file>

<file path=xl/sharedStrings.xml><?xml version="1.0" encoding="utf-8"?>
<sst xmlns="http://schemas.openxmlformats.org/spreadsheetml/2006/main" count="1199" uniqueCount="390">
  <si>
    <t>故事ID</t>
  </si>
  <si>
    <t>触发下一次故事ID</t>
  </si>
  <si>
    <t>是否触发故事背景</t>
  </si>
  <si>
    <t>故事文本</t>
  </si>
  <si>
    <t>背景显示方式</t>
  </si>
  <si>
    <t>背景显示时间</t>
  </si>
  <si>
    <t>是否触发对话</t>
  </si>
  <si>
    <t>是否触发选择</t>
  </si>
  <si>
    <t>选择文本</t>
  </si>
  <si>
    <t>对话几次触发选择</t>
  </si>
  <si>
    <t>NPC对话文本(是)</t>
  </si>
  <si>
    <t>NPC对话文本(否)</t>
  </si>
  <si>
    <t>我的对话文本（是）</t>
  </si>
  <si>
    <t>我的对话文本（否）</t>
  </si>
  <si>
    <t>故事选择奖励_是</t>
  </si>
  <si>
    <t>故事选择奖励_否</t>
  </si>
  <si>
    <t>故事选择任务_是</t>
  </si>
  <si>
    <t>故事选择任务_否</t>
  </si>
  <si>
    <t>背景故事任务ID</t>
  </si>
  <si>
    <t>int</t>
  </si>
  <si>
    <t>string</t>
  </si>
  <si>
    <t>all</t>
  </si>
  <si>
    <t>ID</t>
  </si>
  <si>
    <t>NextStoryID</t>
  </si>
  <si>
    <t>IsStoryBackText</t>
  </si>
  <si>
    <t>StoryBackText</t>
  </si>
  <si>
    <t>StoryBackType</t>
  </si>
  <si>
    <t>StoryShowTime</t>
  </si>
  <si>
    <t>IsStorySpeak</t>
  </si>
  <si>
    <t>IsStorySpeakChoose</t>
  </si>
  <si>
    <t>StorySpeakChooseText</t>
  </si>
  <si>
    <t>StorySpeakChooseText_EN</t>
  </si>
  <si>
    <t>StorySpeakTriggerChoose</t>
  </si>
  <si>
    <t>StorySpeakTextNpc_True</t>
  </si>
  <si>
    <t>StorySpeakTextNpc_True_EN</t>
  </si>
  <si>
    <t>StorySpeakTextNpc_False</t>
  </si>
  <si>
    <t>StorySpeakTextNpc_False_EN</t>
  </si>
  <si>
    <t>StorySpeakTextRose_True</t>
  </si>
  <si>
    <t>StorySpeakTextRose_True_EN</t>
  </si>
  <si>
    <t>StorySpeakTextRose_False</t>
  </si>
  <si>
    <t>StorySpeakTextRose_False_EN</t>
  </si>
  <si>
    <t>StorySpeakReward_True</t>
  </si>
  <si>
    <t>StorySpeakReward_False</t>
  </si>
  <si>
    <t>StorySpeakTask_True</t>
  </si>
  <si>
    <t>StorySpeakTask_False</t>
  </si>
  <si>
    <t>StoryBackTaskID</t>
  </si>
  <si>
    <t>喏，你也是从远方来的小勇士吗，初来乍到，我们先去拜访一下和蔼可亲的魔导师吧。</t>
  </si>
  <si>
    <t>0</t>
  </si>
  <si>
    <t>魔导师把爷爷的东西给你，你是否接受？;快给我，我想看看我爷爷对我说了什么;别给我，我根本不在乎这些</t>
  </si>
  <si>
    <t>The Magistrix Jarl gave you Grandpa's stuff, do you accept it? ;Hurry up, I want to see what my grandpa said to me ;Don't give it to me, I don't care at all</t>
  </si>
  <si>
    <t>你好哇，小伙子，刚才没听到我喊你嘛，为什么不过来！;果然，正如你的爷爷所说，你的天资跟别人不一样，你可以看到别人看不到的东西。;孩子，我也没有你的爷爷的消息，不过你爷爷曾经把一本东西交给过我，你要不要看看上面说了些什么？;这个东西你一定要好好珍惜，在后面他会和你在一起战斗很长时间！;没错，其实你的爷爷是一个很伟大的冒险者，他做了我们都不敢做的事情。;二十年前我和你爷爷为了保护这个小镇一起出发去寻找笼罩在这个小镇上黑暗魔力的源头，一路上我们遇到了许多凶险的魔物。;在与最后的魔王哈里斯的战斗中我和你的爷爷都受了重伤,但是那个魔头受的伤也不轻。;后来那个魔头受伤很重便飞走了，不过由于你爷爷受的伤实在是太重，他让我带着他的日记就先回去了，让我通知小镇上的人来接他。;后来，等我带着小镇的人来找你的爷爷时，他却不见了，我们在周围找了很久也没有找到它。不过就在这时笼罩在小镇周围的黑暗能量也消失了！;我也不知道，或许你能在这本日记中找到一些线索,现在那股黑暗能量又开始出现在小镇的周围，或许再过不久，它们又会和以前一样笼罩整个小镇，到那个时候，保护村子的重任就在你的身上了！;现在你还不够强大，我这里有一些任务，希望你能通过这些试炼任务尽快成长起来。</t>
  </si>
  <si>
    <t>Hello, boy, I didn't hear what I called you just now. Why didn't you come over? ;Sure enough, as your grandfather said, your talent is different from others, and you can see things that others cannot see. ;Boy, I have no news of your grandpa, but your grandpa once gave me a copy of something. Would you like to see what it says? ;You must cherish this thing, he will fight with you for a long time in the back! ;That's right, in fact your grandpa is a great adventurer, and he did things that we dare not do. ;Twenty years ago, my grandfather and I set out to protect this small town to find the source of the dark magic that enveloped this small town. Along the way, we encountered many dangerous monsters. ;Both your grandfather and I were badly injured in the battle with the last demon Harris, but the demon's head was not badly injured either. ;Later, the demon head was very injured and flew away, but because your grandpa was hurt too much, he asked me to go back with his diary first, and let me notify people in the town to pick him up. ;Later, when I came to your grandpa with someone from the town, he was gone, and we looked around for a long time and didn't find it. But at this moment the dark energy surrounding the town also disappeared! ;I do n’t know. Maybe you can find some clues in this diary. Now that dark energy is starting to appear around the town. Maybe soon, they will cover the whole town as before. By that time, The responsibility of protecting the village lies on you! ;Now you are not strong enough, I have some tasks here, I hope you can grow up as soon as possible through these trial tasks.</t>
  </si>
  <si>
    <t>你好哇，小伙子，刚才没听到我喊你嘛，为什么不过来！;果然，正如你的爷爷所说，你的天资跟别人不一样，你可以看到别人看不到的东西。;孩子，我也没有你的爷爷的消息，不过你爷爷曾经把一本东西交给过我，你要不要看看上面说了些什么？;你怎么还是这么调皮，给，拿着！;没错，其实你的爷爷是一个很伟大的冒险者，他做了我们都不敢做的事情。;二十年前我和你爷爷为了保护这个小镇一起出发去寻找笼罩在这个小镇上黑暗魔力的源头，一路上我们遇到了许多凶险的魔物。;在与最后的魔王哈里斯的战斗中我和你的爷爷都受了重伤,但是那个魔头受的伤也不轻。;后来那个魔头受伤很重便飞走了，不过由于你爷爷受的伤实在是太重，他让我带着他的日记就先回去了，让我通知小镇上的人来接他。;后来，等我带着小镇的人来找你的爷爷时，他却不见了，我们在周围找了很久也没有找到它。不过就在这时笼罩在小镇周围的黑暗能量也消失了！;我也不知道，或许你能在这本日记中找到一些线索,现在那股黑暗能量又开始出现在小镇的周围，或许再过不久，它们又会和以前一样笼罩整个小镇，到那个时候，保护村子的重任就在你的身上了！;现在你还不够强大，我这里有一些任务，希望你能通过这些试炼任务尽快成长起来。</t>
  </si>
  <si>
    <t>Hi, lad, didn't you hear me calling you just now, why not come! ;Sure enough, as your grandfather said, your talent is different from others, and you can see things that others cannot see. ;Boy, I have no news of your grandpa, but your grandpa once gave me a copy of something. Would you like to see what it says? ;Why are you so naughty, give it, hold it! ;That's right, in fact your grandpa is a great adventurer, and he did things that we dare not do. ;Twenty years ago, my grandfather and I set out to protect this small town to find the source of the dark magic that enveloped this small town. Along the way, we encountered many dangerous monsters. ;Both your grandfather and I were badly injured in the battle with the last demon Harris, but the demon's head was not badly injured either. ;Later, the demon head was very injured and flew away, but because your grandpa was hurt too much, he asked me to go back with his diary first, and let me notify people in the town to pick him up. ;Later, when I came to your grandpa with someone from the town, he was gone, and we looked around for a long time and didn't find it. But at this moment the dark energy surrounding the town also disappeared! ;I do n’t know. Maybe you can find some clues in this diary. Now that dark energy is starting to appear around the town. Maybe soon, they will cover the whole town as before. By that time, The responsibility of protecting the village lies on you! ;Now you are not strong enough, I have some tasks here, I hope you can grow up as soon as possible through these trial tasks.</t>
  </si>
  <si>
    <t>我好像没听到，不过我看刚才村口好像发生了什么我就想跑到村口看看。;爷爷？我已经有十年没有见到我的爷爷了，他在哪里？你有爷爷的消息吗？;原来这是一本旅行日志！;;;;啊！那后来怎么样了？;;那我爷爷还活着吗？;那我现在可以做些什么呢？;好的，魔导师，我一定完成。</t>
  </si>
  <si>
    <t>I didn't seem to hear it, but I think what happened to the village entrance just now, I just want to go to the village entrance to see. ;Grandpa? I haven't seen my grandfather for ten years. Where is he? Do you have any news about Grandpa? ;So this is a travel log! ;;;;Ah! What happened then? ;;Is my grandpa still alive? ;So what can I do now? ;Okay, Magister, I will do it.</t>
  </si>
  <si>
    <t>I didn't seem to hear it, but I think I wanted to run to the village just now to see what happened. ;Grandpa? I haven't seen my grandfather for ten years. Where is he? Do you have any news about Grandpa? ;So this is a travel log! ;;;;Ah! What happened then? ;;Is my grandpa still alive? ;So what can I do now? ;Okay, Magister, I will do it.</t>
  </si>
  <si>
    <t>魔导师觉的你以后会在战斗中受伤，给你一些药品是否接受？;给我吧，说不定在后面还会有用！;受伤？不可能的！怎么可能受伤！</t>
  </si>
  <si>
    <t>The Magistrix Jarl thinks you will be injured in the battle in the future. Do you accept some medicine? ;Give it to me, maybe it will be useful later! ;Injured? impossible! How could it be hurt!</t>
  </si>
  <si>
    <t>不错啊，没想到你这么快就完成了这些试炼。;让我看看你受没受伤。;你就是没吃过苦头，我这里有一些药品你应该会用的上！;既然这样那我就多给你一些药品，至于那件祖传的宝物我就留下了，嘿嘿嘿嘿嘿！</t>
  </si>
  <si>
    <t>Ah well, I did not expect you so soon completed these trials. ;Let me see if you are hurt. ;You just haven't suffered. I have some medicine you should be able to use! ;In this case, I will give you more medicine, as for the ancestral treasure, I left it, ha ha!</t>
  </si>
  <si>
    <t>不错啊，没想到你这么快就完成了这些试炼。;让我看看你受没受伤。;你就是没吃过苦头，我这里有一些药品你应该会用的上！;你是不是飘了？既然这样为了不让你受伤只能把我一件祖传的宝物给你了，记得要好好用它！</t>
  </si>
  <si>
    <t>Yes, I didn't expect you to complete these trials so quickly. ;Let me see if you are hurt. ;You just haven't suffered. I have some medicine you should be able to use! ;Are you floating? Since I can only give you one of my ancestral treasures in order not to hurt you, remember to use it well!</t>
  </si>
  <si>
    <t>嘿嘿，对我来说这都不算什么！;受伤？不可能的！我怎么可能受伤！;;</t>
  </si>
  <si>
    <t>Hey, it's nothing to me! ;Injured? impossible! How can I get hurt! ;;</t>
  </si>
  <si>
    <t>Haha, it's nothing to me! ;Injured? impossible! How can I get hurt! ;;</t>
  </si>
  <si>
    <t>10010011,20</t>
  </si>
  <si>
    <t>10031011,1</t>
  </si>
  <si>
    <t>我这里有一个很好的装备，你要不要，想一想哦？;要;不要</t>
  </si>
  <si>
    <t>I have a good equipment here. Would you like to think about it? ;Yes;No</t>
  </si>
  <si>
    <t>迎来你的第一个真正的威胁来到了，在森林的深处有一只红狼，只要你能把它给打败，就能得到它身上的所有宝物，它身上的宝物可比我的好多了，嘿嘿。;嘿嘿，先别立下Flag,又一次选择的机会到了！;嘿嘿，给你！当年我就是用它把红狼打败的，希望你也有相同的运气。</t>
  </si>
  <si>
    <t>Your first real threat is coming. There is a red wolf in the depths of the forest. As long as you can kill it, you will get all the treasures on it. The treasures on it are much better than mine. Hehe. ;Hey, don't set up a Flag first, here's another chance to choose! ;Hey, here you are! I used it to defeat the Hemophil Wolf. I hope you have the same luck.</t>
  </si>
  <si>
    <t>迎来你的第一个真正的威胁来到了，在森林的深处有一只红狼，只要你能把它给打败，就能得到它身上的所有宝物，它身上的宝物可比我的好多了，嘿嘿。;嘿嘿，先别立下Flag,又一次选择的机会到了！;看来你是真正的勇士，那下次再见咯~</t>
  </si>
  <si>
    <t>Your first real threat is coming. There is a red wolf in the depths of the forest. As long as you can kill it, you will get all the treasures on it. The treasures on it are much better than mine. Hehe. ;Hey, don't set up a Flag first, here's another chance to choose! ;Looks like you are a real warrior, see you next time ~</t>
  </si>
  <si>
    <t>没问题，这可打败不了我，等着我拿宝物回来吧！;;</t>
  </si>
  <si>
    <t>No problem, this can't beat me, wait for me to take the treasure back! ;;</t>
  </si>
  <si>
    <t>嘿嘿，对我来说这都不算什么！;;</t>
  </si>
  <si>
    <t>Haha, it's nothing to me! ;;</t>
  </si>
  <si>
    <t>10031012,1</t>
  </si>
  <si>
    <t>你竟然把红狼给打败了！;你就是会逞强，好啦，祝你好运，因为这还只是刚刚开始，听说森林的另一边最近总是有种奇怪的叫声，你过去看看那边发生了什么~</t>
  </si>
  <si>
    <t>You have defeated the Red Wolf! ;You just will be stubborn, okay, good luck, because this is just the beginning, I heard that the other side of the forest always has a strange scream, you go and see what happened there ~</t>
  </si>
  <si>
    <t>这有什么，我感觉我都没花什么力气呢。;</t>
  </si>
  <si>
    <t>This is what I feel I did not spend any effort yet. ;</t>
  </si>
  <si>
    <t>很高兴见到你！;我是一名旅行者，喜欢到世界各地去探险，前几天我在前面的树林里看到了一只很大的怪兽，它差一点就要吃了我。;是的，一只巨大的怪兽，不过我幸亏我跑的快侥幸躲过一劫，现在想想就后怕！;你疯啦，那很危险的！;好吧，还是你勇敢！那只怪兽就在那边森林的深处，不过我劝你还是不要过去了。</t>
  </si>
  <si>
    <t>Nice to meet you! ;I am a traveler and like to explore all over the world. A few days ago, I saw a big monster in the woods in front, and it almost ate me. ;Yes, a huge monster, but I'm lucky that I ran away quickly to avoid a disaster. Now I think about it and I'm afraid! ;Are you crazy, it is very dangerous! ;Well, still you brave! The monster is deep in the forest over there, but I advise you not to pass.</t>
  </si>
  <si>
    <t>很高兴再次见到你！;我是其实是一名旅行者，喜欢到世界各地去探险，前几天我在前面的树林里看到了一只很大的怪兽，它差一点就要吃了我。;是的，一只巨大的怪兽，不过我幸亏我跑的快侥幸躲过一劫，现在想想就后怕！;你疯啦，那很危险的！;好吧，还是你勇敢！那只怪兽就在那边森林的深处，不过我劝你还是不要过去了。</t>
  </si>
  <si>
    <t>Really happy to see you again! ;I am actually a traveler, and I like to explore all over the world. A few days ago, I saw a big monster in the woods in front, and it almost ate me. ;Yes, a huge monster, but I'm lucky that I ran away quickly to avoid a disaster. Now I think about it and I'm afraid! ;You're crazy, that's dangerous! ;Well, still you brave! The monster is deep in the forest over there, but I advise you not to pass.</t>
  </si>
  <si>
    <t>你是？;什么？怪兽？;怪兽在哪，快告诉我！;别担心，那不算什么，我刚刚还打败红狼王呢，还没过够瘾呢！你告诉我怪兽在哪里就可以啦。;谢谢你，我这就出发啦！</t>
  </si>
  <si>
    <t>you are? ;What? Monster? ;Tell me where the monster is! ;Don't worry, that's nothing. I just killed the Red Wolf kKng. I haven't had enough addiction! You can tell me where the monster is. ;Thank you. I'm going now!</t>
  </si>
  <si>
    <t>旅行者要把多年前探险时得到的宝物卖给你，只需要200金币。;我要了，200金币拿去！;我行走江湖这么多年，你这点伎俩骗不到我！</t>
  </si>
  <si>
    <t>Caravaneer need only 200 gold coins to sell you the treasures he got from years of adventure. ;I'll take it,take 200 gold coins!;I have walked the rivers and lakes for so many years, you can't lie to me with this trick!</t>
  </si>
  <si>
    <t>天呐，你竟然把他给打败了！;我太崇拜你了！这样吧，多年前我探险的时候无意得到了一个宝物，只要你出200个金币就可以得到它！;你就不怕我是骗子嘛？哈哈！你这么相信我，我也不会让你失望的，这个东西你收好！再见啦，勇士！</t>
  </si>
  <si>
    <t>God, you killed it! ;I adore you so much! Well, I accidentally got a treasure when I was exploring many years ago, as long as you give out 200 gold coins, you can get it! ;Don't you fear I'm a liar? Haha! If you believe me so, I won't let you down, you should put away this thing! Goodbye, warrior!</t>
  </si>
  <si>
    <t>天呐，你竟然把他给打败了！;我太崇拜你了！这样吧，多年前我探险的时候无意得到了一个宝物，只要你出200个金币就可以得到它！;哦呦？既然你这样说那就算了吧，有缘下次再见！</t>
  </si>
  <si>
    <t>God, you killed him! ;I adore you so much! Well, I accidentally got a treasure when I was exploring many years ago, as long as you give out 200 gold coins, you can get it! ;Oh Yo? Now that you say that, let's forget it. See you next time!</t>
  </si>
  <si>
    <t>都说了，这对我来说只是练练手，嘿嘿;;</t>
  </si>
  <si>
    <t>It's all said. It's just practice for me, hehe;;</t>
  </si>
  <si>
    <t>All said, this is just a practice for me, hehe ;;</t>
  </si>
  <si>
    <t>10021011,2</t>
  </si>
  <si>
    <t>婆婆想给予你奖励，你想要什么奖励?;我要经验！;我要装备！</t>
  </si>
  <si>
    <t>Elder wants to reward you. What do you want;I want equipment! ;I want experience!</t>
  </si>
  <si>
    <t>我终于见到你了，小勇士！;我没见过你，但是你打败红狼王和巨手傀儡的消息已经在小镇传开了，我当然也知道。;你可别骄傲啊，小勇士，这才是刚刚开始呢，为了鼓励你的表现，我要给你一份奖励,你要好好选择;嘿嘿……;这是你的经验，请收好！</t>
  </si>
  <si>
    <t>I finally meet you, little warrior! ;I haven't seen you, but the news of your killing the Hemophil Wolf and the Zombie Puppet has spread in the town, and I certainly know that. ;Don’t be proud, little warrior, this is just the beginning. In order to encourage your performance, I want to give you a reward. You have to choose well. Pay attention to the good choice. The evil mother-in-law laughs ... ;Hehe ... ;Haha, you think I will give you the equipment? Naive! Give you experience!</t>
  </si>
  <si>
    <t>我终于见到你了，小勇士！;我没见过你，但是你打败红狼王和巨手傀儡的消息已经在小镇传开了，我当然也知道。;你可别骄傲啊，小勇士，这才是刚刚开始呢，为了鼓励你的表现，我要给你一份奖励;嘿嘿……;这是给你的装备！</t>
  </si>
  <si>
    <t>I finally see you, little warrior! ;I haven't seen you, but the news of your killing the Hemophil Wolf and the Zombie Puppet has spread in the town, and I certainly know that. ;Don’t be proud, little warrior, this is just the beginning. In order to encourage your performance, I want to give you a reward. You have to choose well. Pay attention to the good choice. The evil mother-in-law laughs ... ;Hehe ... ;Haha, do you think I will give you experience? Naive! I will equip you!</t>
  </si>
  <si>
    <t>什么，你见过我嘛，婆婆。;嘿嘿，没想到我现在也有名气啦，这种出门被认识的感觉真的超级好！;;;</t>
  </si>
  <si>
    <t>What, have you seen me, mother-in-law. ;Haha, I didn't expect to be famous now. It's really good to be known when I go out! ;;;</t>
  </si>
  <si>
    <t>2,5000</t>
  </si>
  <si>
    <t>10015001,1</t>
  </si>
  <si>
    <t>婆婆又想再次给予你奖励，你想要什么奖励?;我要装备！;我要经验！</t>
  </si>
  <si>
    <t>Elder wants to reward you again. What do you want;I want equipment! ;I want experience!</t>
  </si>
  <si>
    <t>果然你的能力已经足够强大了，这附近有一只狼王，我来这里就是为了监视那只狼王，如果让它到小镇上那可是一件很恐怖的事情。;就在前面那个山坡上，一路小心，勇士，等你胜利归来的消息。;嘿嘿……;这是你的装备！</t>
  </si>
  <si>
    <t>Sure enough, your ability is already strong enough. There is a wolf king nearby. I came here to monitor that wolf king. It would be a terrible thing to let it go to the town. ;Just on the hillside in front, be careful all the way, Warrior, waiting for the news of your victory return. ;Hehe ... ;Haha, you think I will give you the equipment? Naive! i will!</t>
  </si>
  <si>
    <t>果然你的能力已经足够强大了，这附近有一只狼王，我来这里就是为了监视那只狼王，如果让它到小镇上那可是一件很恐怖的事情。;就在前面那个山坡上，一路小心，勇士，等你胜利归来的消息。;嘿嘿……;这是你的经验！</t>
  </si>
  <si>
    <t>Sure enough, your ability is already strong enough. There is a wolf king nearby. I came here to monitor that wolf king. It would be a terrible thing to let it go to the town. ;Just on the hillside in front, be careful all the way, warrior, waiting for the news of your victory return. ;Hehe ... ;Haha, do you think I will give you experience? Naive! Give you experience!</t>
  </si>
  <si>
    <t>狼王在哪，我感觉我的热血又开始沸腾了！;;;</t>
  </si>
  <si>
    <t>Where is the wolf king? I feel that my blood is beginning to boil again. ;;;</t>
  </si>
  <si>
    <t>Where is the Wolf King? I feel my blood is boiling again! ;;;</t>
  </si>
  <si>
    <t>邀请守护者一起打败树王拿到药材？;跟我一起去打败那只树王吧！;我要自己去，这样宝物都是自己的!</t>
  </si>
  <si>
    <t>Invite the Guardian to defeat Jungle King and get the herbs? ;Come with me to defeat Jungle King! ;I want to kill myself, so the treasures are all my own!</t>
  </si>
  <si>
    <t>你是谁，你是怎么来到这里的！;小点声，你进来的时候狼王有没有看到你，要是被门口的狼王听到我们就死定了。;啊！什么，你把那只可怕的狼王给打败了？;简直不敢相信，我是趁着它睡着时偷偷溜进来的这里的，听说这里有个树王有种的宝物，能拿到它的话估计能换不少钱呢。;我就不去了，我知道冒险者你很厉害，这个宝物或许对你有用，你拿去吧。</t>
  </si>
  <si>
    <t>Who are you and how did you get here! ;A little whisper, did the Wolf King see you when you came in, if we were heard by the Wolf King at the door, we would be dead. ;Ah! What, you killed that terrible wolf king? ;I can't believe it. I sneaked in here while it was asleep. I heard that there is a tree king here with a kind of treasure. If you can get it, you can expect a lot of money. ;I wo n’t go. I know that you are a great adventurer. This treasure may be useful to you. Take it.</t>
  </si>
  <si>
    <t>你是谁，你是怎么来到这里的！;小点声，你进来的时候狼王有没有看到你，要是被门口的狼王听到我们就死定了。;啊！什么，你把那只可怕的狼王给打败了？;简直不敢相信，我是趁着它睡着时偷偷溜进来的这里的，听说这里有个树王有种的宝物，能拿到它的话估计能换不少钱呢。;本来我有一件很厉害的宝物要给你，既然你都这么强了，那就是不需要这件超厉害宝物了！记得是超厉害喔！HHHHHHH~</t>
  </si>
  <si>
    <t>Who are you and how did you get here! ;A little whisper, did the Wolf King see you when you came in, if we were heard by the Wolf King at the door, we would be dead. ;Ah! What, you killed that terrible wolf king? ;I can't believe it. I sneaked in here while it was asleep. I heard that there is a tree king here with a kind of treasure. If you can get it, you can expect a lot of money. ;I had a very powerful treasure for you. Since you are so strong, you don't need this super treasure! Remember that super-powerful Oh! HHHHHHH ~</t>
  </si>
  <si>
    <t>我是一名小小的冒险者，我是追寻着我爷爷的日记才来到这里的。;喔？就是刚才被我打败的那只大傻狼嘛？;不信你我看我背包里的战利品就是刚从它身上拿的。;;</t>
  </si>
  <si>
    <t>I'm a little adventurer. I came here after my grandfather's diary. ;Oh? Is that the stupid wolf I killed just now? ;I don't believe you. I think the booty in my backpack was just taken from it. ;;</t>
  </si>
  <si>
    <t>10010091,1</t>
  </si>
  <si>
    <t>是否愿意帮助守护者清理软泥怪？;愿意！我需要丰厚的报酬！;非常愿意！斩妖除魔的事情找我就是找对啦！</t>
  </si>
  <si>
    <t>Would you like to help the Guardian clean up the ooze ? ;Willing! I need a generous reward! ;Very willing! I'm the right person to find out about beheading demons and removing demons!</t>
  </si>
  <si>
    <t>很高兴又再次见到您！小勇士！;现在前面有一只大的软泥怪挡住了我们前进的道路，你去清理一下，我相信你的能力，事后我会给你丰厚的回报！;我喜欢你的诚实！嘿嘿，不能让你白跑一趟，这点报酬你先拿着，还是那句话，祝你好运！</t>
  </si>
  <si>
    <t>Glad to see you again! Little warrior! ;Now there is a big Little Ooze in front of us blocking our way forward, you go to clean it up, I believe in your ability, I will give you a generous return afterwards! ;I like your honesty! Hehe, I can't let you run for nothing, you should take this reward first, or that sentence, good luck!</t>
  </si>
  <si>
    <t>很高兴又再次见到您！小勇士！;现在前面有一只大的软泥怪挡住了我们前进的道路，你去清理一下，我相信你的能力，事后我会给你丰厚的回报！;果然没看错你，我欣赏你的勇气，去吧，既然你不要丰厚的报酬，那么送给你一句祝福吧，加油,小勇士！</t>
  </si>
  <si>
    <t>Glad to see you again! Little warrior! ;Now there is a big Oozer in front of us blocking our way forward, you go to clean it up, I believe in your ability, I will give you a generous return afterwards! ;Sure enough I read you right, I appreciate your courage, let's go, since you don't want a generous reward, then give you a blessing, come on! (Laughing ...)</t>
  </si>
  <si>
    <t>;;</t>
  </si>
  <si>
    <t>1,10000</t>
  </si>
  <si>
    <t>强大的树王就在前面了，你准备好了么？;我准备好了,让我去吧！;疯狂摇头，没有！</t>
  </si>
  <si>
    <t>The powerful Jungle King is ahead, are you ready? ;I'm ready. Let me go! ;Crazy shake your head, no!</t>
  </si>
  <si>
    <t>强大的树王就在前面了，你准备好了么？;既然准备好啦，那就去吧！</t>
  </si>
  <si>
    <t>The powerful King of Trees is ahead, are you ready? ;Now that you're ready, let's go! I haven't given you a weapon filled with pearl diamonds for ten years. Goodbye!</t>
  </si>
  <si>
    <t>强大的树王就在前面了，你准备好了么？;没想到你还是这么害怕，这个武器你带上吧，希望能给你壮壮胆！</t>
  </si>
  <si>
    <t>The powerful Jungle King is ahead, are you ready? ;Unexpectedly, you are still so scared, you bring this weapon, I hope to give you courage!</t>
  </si>
  <si>
    <t>;</t>
  </si>
  <si>
    <t>10031051,1</t>
  </si>
  <si>
    <t>你竟然把树王打败了？;你呀和你爷爷以前一样，有股倔劲，哈哈，不过我喜欢。;不要灰心，你爷爷一定能看到你的成长的，刚才也只是一段小小的试炼，不过你表现的真的很不错，你已经证明了你拥有独自去冒险的能力，以后的路我不能帮你了，你自己一定要小心。;那边有个小仙女，好像在找你，你去看看吧！</t>
  </si>
  <si>
    <t>You beat the King of Trees? ;You are the same as your grandpa, haha, but I like it. ;Don’t be discouraged, your grandpa will definitely see your growth. It was just a small trial just now, but you did really well. You have proven that you have the ability to take risks on your own. I can’t help you in the future, you must be careful yourself. ;There is a fairy over there, it seems to be looking for you, you go and see!</t>
  </si>
  <si>
    <t>You actually defeated the king of the Jungle King? ;You are the same as your grandpa, haha, but I like it. ;Don’t be discouraged, your grandpa will definitely see your growth. It was just a small trial just now, but you did really well. You have proven that you have the ability to take risks on your own. I can’t help you in the future, you must be careful yourself. ;There is a fairy over there, it seems to be looking for you, you go and see!</t>
  </si>
  <si>
    <t>是啊，这对我来说都不算什么。;不过还是没有爷爷的消息。;谢谢，我已经长大了，我会照顾好自己的！;</t>
  </si>
  <si>
    <t>Yeah, it's nothing to me. ;But there was no news from grandpa. ;Thank you. I've grown up. I'll take care of myself! ;</t>
  </si>
  <si>
    <t>是否让小仙女给你包扎伤口？;小仙女好漂亮，我要趁机接近她！;不要不要，我要跑！</t>
  </si>
  <si>
    <t>If you let the fairy to dress their wounds? ;The fairy is so beautiful. I'll take the opportunity to approach her. ;Don't don't, I don't deserve her, I want to run!</t>
  </si>
  <si>
    <t>你好，小勇士！;听爷爷说你特别勇敢，竟然战胜了树王。;别逞强啦，你看你的伤口还在那流血呢，来我给你包扎一下。;看你色眯眯的样子就感觉你伤口已经好了，不用包扎了,这个东西你拿着或许对你来着会有些用。;你羞涩的样子还是挺可爱的嘛，怎么不像刚才那样逞强啦？;后会有期！</t>
  </si>
  <si>
    <t>Hello, little warrior! ;I heard Grandpa say you are so brave that you have defeated the Jungle King. ;Don't be stubborn, you see your wound is still bleeding, let me bandage you. ;It looks like your wounds are good after seeing you, you don’t need to bandage it. It may be useful for you to hold this thing. ;You're still shy and cute, why not be stubborn like before? ;We shall meet again some day！</t>
  </si>
  <si>
    <t>你好，小勇士！;听爷爷说你特别勇敢，竟然战胜了树王。;别逞强啦，你看你的伤口还在那流血呢，来我给你包扎一下。;站住，你敢跑，看我不打死你，快过来,这个东西你拿着或许对你来着会有些用！;你羞涩的样子还是挺可爱的嘛，怎么不像刚才那样逞强啦？;后会有期！</t>
  </si>
  <si>
    <t>Hello, little warrior! ;I heard Grandpa say you are so brave that you have defeated the King of Trees. ;Don't be stubborn, you see your wound is still bleeding, let me bandage you. ;Stop, you dare to run, see that I will not kill you, come here, this thing you hold may be useful to you! ;You're still shy and cute, why not be stubborn like before? ;We shall meet again some day！</t>
  </si>
  <si>
    <t>你好哇，小仙女！;嗨，这没什么，对我来说，这就是手抬一下的事情。;;嘻嘻，不管怎么样，谢谢你为我包扎，还是第一次有女生为我包扎伤口。;那不一样！我还有事情要做啦，我走啦！;后会一定有期！</t>
  </si>
  <si>
    <t>Hello, little fairy! ;Hi, it's nothing, for me it's all trivial ;;Hee hee, no matter what, thank you for bandaging me, or for the first time a girl bandaged my wound. ;That's different! I have something else to do. I'm going! ;See you around!</t>
  </si>
  <si>
    <t>10031001,1</t>
  </si>
  <si>
    <t>10010083,2</t>
  </si>
  <si>
    <t>第二章冒险开启！</t>
  </si>
  <si>
    <t>欢迎来到海底世界，小勇士。;这里原来是一座城市，有漂亮的房子，有很美丽的石板路，有很好看的树木，但是前几天突然来了一群入侵者把这个地方给霸占了，这里原来的村民都被驱赶到别的地方了。;哎,没有办法，原来我是这里的守护神，现在也没什么事情做了。;你？看你这么小的身体能抗的住嘛。;你先熟悉一下这里的环境，一会有更重要的事情需要你去做。</t>
  </si>
  <si>
    <t>Welcome to the underwater world, little warrior. ;It turned out to be a city, with beautiful houses, beautiful stone roads, and beautiful trees, but a group of invaders suddenly came to occupy the place a few days ago, and the original villagers here were driven away place. ;Hey, there is no way. I was the patron saint here, and now I have nothing to do. ;you? See if your small body can resist it. ;You should familiarize yourself with the environment first, and there will be more important things that you need to do.</t>
  </si>
  <si>
    <t>Welcome to the underwater world, little warrior. ;It turned out to be a city, with beautiful houses, beautiful stone roads, and beautiful trees, but a group of invaders suddenly came to occupy the place a few days ago, and the original villagers here were driven away Place. ;Hey, there is no way. I was the patron saint here, and now I have nothing to do. ;ou? See if your small body can resist it. ;You should familiarize yourself with the environment first, and there will be more important things that you need to do.</t>
  </si>
  <si>
    <t>这里是哪里啊？;他们真是太可恶了。;嘿嘿，没关系老爷爷，你看我不是来了嘛。;我？我很强大的！;</t>
  </si>
  <si>
    <t>Where is this ;They are so abominable. ;Hey, it's OK, Grandpa. I'm here. ;Me? I'm very strong! ;</t>
  </si>
  <si>
    <t>Where is this? ;They are so abominable. ;Hey, it's OK, Grandpa. I'm here. ;Me? I'm very strong! ;</t>
  </si>
  <si>
    <t>是否进入海底深处？;我还是跑吧，刚才把我淹的够呛;我要去，看看他们到底有多强</t>
  </si>
  <si>
    <t>Whether to enter the deep in the sea? ;I'd better run. I was drowned out just now;I'm going to see how strong they are</t>
  </si>
  <si>
    <t>看来你的实力非比寻常，我能感觉到你有一股很强大的能量。;你可要千万注意，这里跟别的地方不太一样，你越往前走就越靠近最深处的海底，这里入侵军的水性都很强，你千万要小心。;再见，不送！</t>
  </si>
  <si>
    <t>It seems your strength is extraordinary, and I can feel that you have a very powerful energy. ;You have to pay attention. This place is different from other places. The closer you go, the closer you get to the deepest ocean floor. The invaders here are very watery. You must be careful. ;Goodbye!</t>
  </si>
  <si>
    <t>看来你的实力非比寻常，我能感觉到你有一股很强大的能量。;你可要千万注意，这里跟别的地方不太一样，你越往前走就越靠近最深处的海底，这里入侵军的水性都很强，你千万要小心。;既然你已经有了你的选择，我尊重你，这把东西你拿着，或许它可以帮你些什么。</t>
  </si>
  <si>
    <t>It seems your strength is extraordinary, and I can feel that you have a very powerful energy. ;You have to pay attention. This place is different from other places. The closer you go, the closer you get to the deepest ocean floor. The invaders here are very watery. You must be careful. ;Now that you have your choice, I respect you, you hold this thing, maybe it can help you.</t>
  </si>
  <si>
    <t>嘿嘿，我就说我很强嘛。;;;</t>
  </si>
  <si>
    <t>Hey, I said I was strong. ;;;</t>
  </si>
  <si>
    <t>10022007,10</t>
  </si>
  <si>
    <t>是否听长老把话说完？;不用说了，一会我就回来了！;听长老把话说完！</t>
  </si>
  <si>
    <t>Whether listening to the elder finish? ;Needless to say, I will be back in a while! ;Listen to the elder finish!</t>
  </si>
  <si>
    <t>天呐，真的没想到，你竟然开了好头，这些该死的入侵者，真是害惨了我们！;不要急，我们要一步步来，我知道这里海底的女王很厉害，我们还需要提升一下自己的实力。;听说在海底殿堂的门口有一只巨大的石怪，它驻守在宫殿的门口，想进入宫殿必须要先把它打败。;喂喂！别急啊，我还没说完呢！;其实也没什么要说的了，就是想给你一些东西。</t>
  </si>
  <si>
    <t>Oh my god, I didn't expect you to get off to a good start. These damn invaders really hurt us! ;Don’t worry, we have to step by step. I know the queen at the bottom of the sea is very powerful, and we need to improve our strength. ;I heard that there is a huge stone monster at the gate of the undersea palace. It is stationed at the gate of the palace. If you want to enter the palace, you must first defeat it. ;Hey! Don't worry, I'm not finished yet! ;In fact, there is nothing to say, just to give you something.</t>
  </si>
  <si>
    <t>天呐，真的没想到，你竟然开了好头，这些该死的入侵者，真是害惨了我们！;不要急，我们要一步步来，我知道这里海底的女王很厉害，我们还需要提升一下自己的实力。;听说在海底殿堂的门口有一只巨大的石怪，它驻守在宫殿的门口，想进入宫殿必须要先把它打败。;喂喂！别急啊，我还没说完呢！;本来要给你一些东西的，既然你这么有耐心，应该可以打到更好的装备，再见，不送！233333333</t>
  </si>
  <si>
    <t>Oh my god, I didn't expect you to get off to a good start. These damn invaders really hurt us! ;Don’t worry, we have to step by step. I know the queen at the bottom of the sea is very powerful, and we need to improve our strength. ;I heard that there is a huge stone monster at the gate of the undersea palace. It is stationed at the gate of the palace. If you want to enter the palace, you must first defeat it. ;Hey! Don't worry, I'm not finished yet! ;I was going to give you something. Since you are so patient, you should be able to get better equipment. Goodbye, do n’t send it! 233333333</t>
  </si>
  <si>
    <t>长老，那么后面我该怎么做呢？怎样才能恢复这里曾经的安宁呢？;那我们后面该怎么办呢？;那我知道啦，走了，再见！;;我已经准备好啦，我出发啦！~</t>
  </si>
  <si>
    <t>Elder, what should I do later? How can we restore the peace here? ;What shall we do later? ;Then I know. Let's go. Goodbye! ;;I'm ready. I'm going! ~</t>
  </si>
  <si>
    <t>10015002,1</t>
  </si>
  <si>
    <t>长老说等等是否要等一等？;不用等了，刚才都等了那么久也没等出啥！;我自己想了一下，我的直觉告诉我需要等一等！</t>
  </si>
  <si>
    <t>The elder said wait, do you want to wait? ;No need to wait, just waited so long for nothing! ;I thought about it for a while, and my intuition told me I needed to wait!</t>
  </si>
  <si>
    <t>真的没想到你现在竟然打开了通往海底宫殿的大门。;不错，那里便是宫殿的入口了。;等等！;再见，不送！</t>
  </si>
  <si>
    <t>I really didn't expect you to open the door to the undersea palace now. ;Yes, there is the entrance to the palace. ;Wait! ;Goodbye!</t>
  </si>
  <si>
    <t>真的没想到你现在竟然打开了通往海底宫殿的大门。;不错，那里便是宫殿的入口了。;等等！;这次你等对了，这个宝物你拿着吧，应该对你有很大的帮助！</t>
  </si>
  <si>
    <t>I really didn't expect you to open the door to the undersea palace now. ;Yes, there is the entrance to the palace. ;Wait! ;You are right this time. Hold this treasure. It should be of great help to you!</t>
  </si>
  <si>
    <t>嘿嘿，我看到哪里有个入口了，是不是走进那个入口就可以前往最后的海底宫殿啦。;好了那我走了，再见！;;</t>
  </si>
  <si>
    <t>Hehe, I see where there is an entrance. If I enter that entrance, I can go to the last undersea palace. ;Alright then I'm leaving, goodbye! ;;</t>
  </si>
  <si>
    <t>10031007,1</t>
  </si>
  <si>
    <t>真的幸运，还好你还在，我还以为你不会回来了。;十分感谢你帮我们赶走了这些该死的入侵者，我也要准备一下，带着我子民重新建设我们的家园了。;好啦，最后祝你好运啦！亲爱的小勇士~</t>
  </si>
  <si>
    <t>I'm really lucky. Fortunately, you are still there. I thought you would not come back. ;Thank you very much for helping us drive these damn invaders out. I will also prepare and take my people to rebuild our home. ;Well, finally I wish you good luck it! Dear little warrior ~</t>
  </si>
  <si>
    <t>嘿嘿，没那么恐怖啦，也感谢你给我的那些宝物让我派上了很大用场！;;再见啦，后会有期，我也要继续踏上我的征途了~</t>
  </si>
  <si>
    <t>Haha, it's not so terrible. Thank you for the treasures you gave me, which made me use a lot! ;;See you later, I will continue my journey~</t>
  </si>
  <si>
    <t>上次小仙女给你包扎的伤口怎么样啦？;伤口早好啦，我的身体超棒的！;谢谢你对我的照顾啦！</t>
  </si>
  <si>
    <t>How was the wound that the fairy bandaged you last time? ;The wound has been healed. I'm in excellent health! ;My wound will never heal, hee hee!</t>
  </si>
  <si>
    <t>哎呀呀，这是哪阵大风把我们的小勇士给吹来啦！;上次我给你包扎的伤口怎么样啦？;好的，既然都那么棒了，那就走吧，不想再看见你！;我叫你走开点啦~;好，那你就在这里呆一会吧，一直待着我看你能待到什么时候。;再见，不送！哼~</t>
  </si>
  <si>
    <t>Ah, what gale brings our little warrior! ;What happened to the wound I bandaged you last time? ;OK, since it's so great, let's go. I don't want to see you again! ;I told you to go away~;OK, just stay here for a while, and stay with me to see when you can stay. ;Good bye! Hum ~</t>
  </si>
  <si>
    <t>哎呀呀，这是哪阵大风把我们的小勇士给吹来啦！;上次我给你包扎的伤口怎么样啦？;这里有个东西，是我前几天在集市上买的说不定你能用上。;我叫你走开点啦~;好，那你就在这里呆一会吧，一直待着我看你能待到什么时候。;再见，不送！哼~</t>
  </si>
  <si>
    <t>Whoops, what wind is blowing our little warrior! ;How was the wound I bandaged last time? ;Go away, why are you so bad! There is something here that I bought at the market a few days ago, maybe you can use it. ;I told you to go away~;OK, just stay here for a while, and stay with me to see when you can stay. ;Good bye! Hum ~</t>
  </si>
  <si>
    <t>嘿嘿，是我自己把我自己吹来了。;;嘻嘻！;摸摸头，我想在这里呆一会，就一会。;那好啦，感觉你生气了，我看我还是先离开这里吧，嘻嘻，那我继续去冒险了。;</t>
  </si>
  <si>
    <t>Hehe, I blow myself here. ;;Hee hee! ;Touch my head. I want to stay here for a while, just for a while. ;Well, I think you're angry. I think I'd better leave here first. Hee hee, then I'll continue to take risks. ;</t>
  </si>
  <si>
    <t>Hey, I blew myself here. ;;Hee hee! ;Touch my head. I want to stay here for a while, just for a while. ;Well, I think you're angry. I think I'd better leave here first. Hee hee, then I'll continue to take risks. ;</t>
  </si>
  <si>
    <t>10010084,1</t>
  </si>
  <si>
    <t>10040605,1</t>
  </si>
  <si>
    <t>第三章冒险开启！</t>
  </si>
  <si>
    <t>欢迎来到荒漠世界，小勇士。;那你还是回去吧，这仅仅是个开始，后面的温度是你难以想象的。;这里叫做荒漠之地，是圣光大陆最炎热的地方，很多和你一样的冒险者都受不了这里的温度就离开了，所以我劝你还是早点回去的好。;如果你准备好了，那你就前进吧，前面是一只饥饿龙，传说已经几百年都没有吃东西了，小心它把你当成它的食物喔。;口气不小嘛，希望不要让我看你的笑话，祝你好运，勇士~</t>
  </si>
  <si>
    <t>Welcome to the desert world, little warrior. ;Then you should go back. This is just the beginning. The temperature behind is unimaginable. ;It's called the desert land. It's the hottest place in the Holy Land. Many adventurers like you can't stand the temperature here and leave. So I suggest you go back earlier. ;If you are ready, then go ahead. There is a hungry dragon in front. It has been said that it has not been eating for hundreds of years. Be careful that it treats you as its food. ;Not bad tone, I hope not to show me your joke, good luck, warrior ~</t>
  </si>
  <si>
    <t>Welcome to the desert world, little warrior. ;Then you go back. This is just the beginning. The temperature at the back is unimaginable. ;It's called the desert land. It's the hottest place in the Holy Land. Many adventurers like you can't stand the temperature here and leave. So I suggest you go back earlier. ;If you are ready, then go ahead. There is a hungry dragon in front. It has been said that it has not been eating for hundreds of years. Be careful that it treats you as its food. ;Not bad tone, I hope not to show me your joke, good luck, warrior ~</t>
  </si>
  <si>
    <t>啊，这里怎么这么热啊~;来都来了，我是不会回去的。我想问下这里是什么地方？;我刚才已经说了，我是不会回去的，那我可以继续前进了嘛？;我看这只龙是我的食物才对！;</t>
  </si>
  <si>
    <t>Ah, why is it so hot here ~ ;It's all here. I won't go back. I want to ask where is this place? ;I said just now, I won't go back. Can I move on? ;I think this dragon is my food! ;</t>
  </si>
  <si>
    <t>Ah, why is it so hot here~;It's all here. I won't go back. I want to ask where is this place? ;I said just now, I won't go back. Can I move on? ;I think this dragon is my food! ;</t>
  </si>
  <si>
    <t>是否接受药品？;我没受伤，我非常勇敢！;谢谢，这个对我很有用</t>
  </si>
  <si>
    <t>Do you accept drugs? ;I was not injured，why give me the medicine! ;Thanks, this is useful for me</t>
  </si>
  <si>
    <t>不可思议！你是我这么长时间见到第一个能把饥饿龙打败的挑战者。;我这里有点药，你先拿去包扎一下伤口吧.;哈哈，我喜欢你的这个脾气，跟我小时候一样！这个装备你拿着，一定能帮你很大的忙！</t>
  </si>
  <si>
    <t>Incredible! You are the first challenger I have seen in a long time to kill the Hungry Dragon. ;I have some medicine here. Take it to bandage the wound first;Haha, I like your temper, just like when I was a kid! The equipment you take, be sure to help you a great favor!</t>
  </si>
  <si>
    <t>不可思议！你是我这么长时间见到第一个能把饥饿龙打败的挑战者。;我这里有点药，你先拿去包扎一下伤口吧.;哎呀，刚想起来药用完了，那我给你包扎一下吧！十分钟后……  好啦 包扎好了！既然好了，那个极品装备你也用不上啦！再见！</t>
  </si>
  <si>
    <t>Incredible! You are the first challenger I have seen in a long time to kill the Hungry Dragon. ;I have some medicine here, you can bandage the wound first. ;Oops, I just remembered that the medicine was finished, so I'll bandage you! Ten minutes later ... OK, bandaged! Now that you're fine, you won't need that great equipment! Goodbye!</t>
  </si>
  <si>
    <t>嘿嘿，虽然受了点伤，但是应该没什么问题。;;谢谢，那我继续挑战后面的怪物啦！</t>
  </si>
  <si>
    <t>Hehe, although he was slightly injured, it should be fine. ;;Thank you, then I will continue to challenge the monster behind.</t>
  </si>
  <si>
    <t>Haha, although hurt a little, it should be OK. ;;Thank you, then I will continue to challenge the monster behind.</t>
  </si>
  <si>
    <t>10015003,1</t>
  </si>
  <si>
    <t>是否小点声音？;赶紧小点声音，我其实也害怕。 ;怕什么？我就是要大声！啊啊啊啊啊,快来人啊！</t>
  </si>
  <si>
    <t>Do you want to keep your voice down? ;Hurry up and be quiet, I'm actually scared. ;What are you afraid of? I just want to be loud! Ah, ah, ah, come on!</t>
  </si>
  <si>
    <t>嘘！快来，别出声，你是怎么来到这里的。;啊？饥饿龙没看到你嘛？;天呐，真是厉害！我在这里呆了好久，发现旁边有条小路才偷偷溜进来的。;嘘，你可小点声，说不定是你运气好，才打过的，后面的怪物更厉害，你可别把他们都吵醒了！;还算你看得清形式，这个东西你拿好，希望你有点用！</t>
  </si>
  <si>
    <t>Shh! Come on, Hush, how did you come here. ;Huh? Hungry dragon didn't see you? ;Oh my god! I stayed here for a long time, only to find that there was a side road sneaking in. ;Hush, you can speak quietly, maybe you were lucky to hit it before. The monsters behind are even more powerful. Don't wake them all up! ;Even if you can see the form clearly, you can take this thing well, I hope you can use it a bit!</t>
  </si>
  <si>
    <t>嘘！快来，别出声，你是怎么来到这里的。;啊？饥饿龙没看到你嘛？;天呐，真是厉害！我在这里呆了好久，发现旁边有条小路才偷偷溜进来的。;嘘，你可小点声，说不定是你运气好，才打过的，后面的怪物更厉害，你可别把他们都吵醒了！;哎，真没救了，本来还要给你东西的，算了，我先溜了！后会有期~</t>
  </si>
  <si>
    <t>Shh! Come on, don't say anything, how did you get here. ;hat? Didn't the Hungry Dragon see you? ;Oh my god! I stayed here for a long time, only to find that there was a side road sneaking in. ;Hush, you can speak quietly, maybe you were lucky to hit it before. The monsters behind are even more powerful. Don't wake them all up! ;Ah, it's hopeless. I would have given you something. Forget it, I'll slip first! Later meeting~</t>
  </si>
  <si>
    <t>我从那边大门走进来的啊;看见啦，我就是把它打败了以后大步迈进来的。;拍拍胸！有我在，以后我带你走大路！;;</t>
  </si>
  <si>
    <t>I walked in from the gate over there ;See, I just killed it and stepped in. ;Clap your chest! I'm here. I'll take you on the road! ;;</t>
  </si>
  <si>
    <t>I came in through that gate;See, I just killed it and stepped in. ;Clap your chest! I'm here. I'll take you on the road! ;;</t>
  </si>
  <si>
    <t>10033027,1</t>
  </si>
  <si>
    <t>是否听守秘人告诉你的秘密？;快告诉我吧，我十分想听 ;不要听！我要被大火烧的连骨头都没了</t>
  </si>
  <si>
    <t>Whether listening to the Secret Keeper tell your secret? ;Tell me quickly. I really want to hear ;.Don't listen! I'm going to be burned out of bones by the fire</t>
  </si>
  <si>
    <t>小勇士快过来！听说最近有个小勇士很厉害应该就是你把。;刚才你打败巨斧守卫的时候我在旁边偷偷的看到了，你拥有很强大的能力。;不管怎么样，既然你能把巨斧守卫击败，就说明你是已经拥有了挑战最后BOSS的实力。;你如果愿意接受这个挑战，我就把这里的秘密告诉你。;秘密就是：23333333333333333     嗯，嘿嘿！没了~  来自作者恶意的笑~</t>
  </si>
  <si>
    <t>Come here, little warrior! It's said that you are the one who is very powerful recently. ;Just now, when you killed the big Axe Reaver, I saw it beside you. You have a very strong ability. ;Anyway, since you can defeat the Axe Reaver, it means that you already have the strength to challenge the last boss. ;If you are willing to accept this challenge, I will tell you the secret here. ;The secret is: 23333333333333333 Well, hehe! Gone ~ From the author's malicious laugh ~</t>
  </si>
  <si>
    <t>小勇士快过来！听说最近有个小勇士很厉害应该就是你把。;刚才你打败巨斧守卫的时候我在旁边偷偷的看到了，你拥有很强大的能力。;不管怎么样，既然你能把巨斧守卫击败，就说明你是已经拥有了挑战最后BOSS的实力。;你如果愿意接受这个挑战，我就把这里的秘密告诉你。;既然不想听那就算了，好不容易忽悠一个挑战者来可不能让你跑了！这个装备你拿着吧，不过答应我，拿着可别跑啦！</t>
  </si>
  <si>
    <t>Little warrior is coming! I heard that there is a little warrior who is very powerful recently. It should be you. ;When you killed the Axe Reaver just now, I secretly saw it next to you. You have very powerful abilities. ;Anyway, since you can defeat the Axe Reaver, it means that you already have the strength to challenge the last boss. ;If you are willing to accept this challenge, I will tell you the secret here. ;Since I don't want to hear that, I won't let you run away by fooling a challenger! Take this equipment, but promise me not to run away with it!</t>
  </si>
  <si>
    <t>嘿嘿，可能就是我吧。;那个胖怪物力气好大，在跟它战斗的时候差一点我也被它的大斧子给劈成两半。;;;</t>
  </si>
  <si>
    <t>Hey, maybe it's me. ;That fat monster has great strength. When fighting with it, I was almost split in two by its big axe. ;;;</t>
  </si>
  <si>
    <t>Hehe, maybe it's me. ;That fat monster has great strength. When fighting with it, I was almost split in two by its big axe. ;;;</t>
  </si>
  <si>
    <t>10043003,1</t>
  </si>
  <si>
    <t>是否接受荒漠守护者的奖励?;接受，谢谢守护者;我都这么厉害，还需要什么奖励！</t>
  </si>
  <si>
    <t>Accept the reward of Desert Guardian? ;Accept, thank you ;I'm so amazing, what rewards are needed!</t>
  </si>
  <si>
    <t>你真的太厉害了，没想到这么长时间你是第一个能挑战完这里所有BOSS的勇士，这个奖励你拿着吧，希望你越来越好;这个你拿好，后面还有更长的路~;祝你好运~</t>
  </si>
  <si>
    <t>You are really amazing. I didn't expect you to be the first warrior who can challenge all the bosses here in such a long time. This reward is for you. I hope you get better and better ;Take this. There's a long way to go~;Good luck ~</t>
  </si>
  <si>
    <t>你真的太厉害了，没想到这么长时间你是第一个能挑战完这里所有BOSS的勇士，这个奖励你拿着吧，希望你越来越好;既然不要，那我就不把我珍藏多年的屠龙刀给你了!;祝你好运~</t>
  </si>
  <si>
    <t>You are really amazing. I didn't expect you to be the first warrior who can challenge all the bosses here in such a long time. This reward is for you. I hope you get better and better ;Since it is not, then I will not give you the Dragon Sword that I have treasured for many years! ;Good luck ~</t>
  </si>
  <si>
    <t>10023016,10</t>
  </si>
  <si>
    <t>是否给小仙女带了礼物？;我给你买了一把螺丝刀，喏！;多喝热水！</t>
  </si>
  <si>
    <t>Did you bring a gift to the fairy? ;I bought you a screwdriver, hey! ;Just drink plenty of hot water!</t>
  </si>
  <si>
    <t xml:space="preserve">我感觉，好久好久没有见到你了，小勇士。;走开，你太坏了，我可没说我想你，小心我揪你耳朵。;那你出去那么久就没有给你带礼物嘛？;天呐！你怎么知道我家门把手坏了！ </t>
  </si>
  <si>
    <t>I feel like I haven't seen you for a long time, little warrior. ;Go away, you are so bad. I didn't say I miss you. Be careful if I pull your ear. ;So you haven't brought me a gift since you went out so long? ;God! How do you know that my door handle is broken!</t>
  </si>
  <si>
    <t>我感觉，好久好久没有见到你了，小勇士。;走开，你太坏了，我可没说我想你，小心我揪你耳朵。;那你出去那么久就没有给你带礼物嘛？;你去死吧！</t>
  </si>
  <si>
    <t>I feel like I haven't seen you for a long time, little warrior. ;Go away, you are too bad, I didn't say I miss you, be careful I pinch your ears. ;So you haven't brought me a gift since you went out so long? ;Go to hell!</t>
  </si>
  <si>
    <t>嘻嘻，明明才过去一会，你是不是想我啦？;好啦，最近世道不是都不是很太平，你自己也要特别小心。;;</t>
  </si>
  <si>
    <t>Hee hee, it was only a while before, did you miss me? ;Well, the world has not been very peaceful recently, you have to be very careful yourself. ;;</t>
  </si>
  <si>
    <t>Hee hee, it's only a moment after tomorrow. Do you miss me? ;Well, the world has not been very peaceful recently, you have to be very careful yourself. ;;</t>
  </si>
  <si>
    <t>10000008,1</t>
  </si>
  <si>
    <t>第四章冒险开启！</t>
  </si>
  <si>
    <t>是否听圣歌守护者的在这里不要乱跑？;这里这么危险，我肯定不会乱跑的;我先答应他，说不定听话有糖吃!嘿嘿</t>
  </si>
  <si>
    <t>Whether listening to the Hymns Guardians do not run around here? ;It's so dangerous here, I definitely won't run around ;I promise him first, maybe obedient to have sugar! Hehe</t>
  </si>
  <si>
    <t>哈喽，小勇士，很高兴见到你!;这里是圣歌营地，周围都是茂密的森林，不过在这看似平静的森林中缺到处都隐藏着危机，你一定要小心，最好不要乱跑。;看出来你是诚心不会乱跑的，既然不会乱跑那就不需要宝物保护你啦，再见！;谢谢，那我继续去冒险啦~</t>
  </si>
  <si>
    <t>Hello, little warrior, nice to meet you! ;This is the Anthem Camp, surrounded by dense forests, but in this seemingly peaceful forest, there are crises hidden everywhere. You must be careful not to run around. ;It seems that you are sincere and will not run around. Since you can’t run around, you don’t need treasures to protect you. Goodbye! ;Thank you, I will continue my adventure ~</t>
  </si>
  <si>
    <t>哈喽，小勇士，很高兴见到你!;这里是圣歌营地，周围都是茂密的森林，不过在这看似平静的森林中缺到处都隐藏着危机，你一定要小心，最好不要乱跑。;看你的眼神就知道你是不是想骗我，既然你还是会乱跑，那我只能把我的宝物送给你了，记得出去的时候一定穿上它！;谢谢，那我继续去冒险啦~</t>
  </si>
  <si>
    <t>Hello, little warrior, nice to meet you! ;This is the Anthem Camp, surrounded by dense forests, but in this seemingly peaceful forest, there are crises hidden everywhere. You must be careful not to run around. ;Just look at your eyes and see if you want to lie to me. Since you still run around, I can only give you my treasure, remember to wear it when you go out! ;Thank you, I will continue my adventure ~</t>
  </si>
  <si>
    <t>你好哇，我也很高兴见到你。;;;</t>
  </si>
  <si>
    <t>Hi wow, I'm glad to meet you too. ;;;</t>
  </si>
  <si>
    <t>Hello. Nice to meet you, too. ;;;</t>
  </si>
  <si>
    <t>10034039,1</t>
  </si>
  <si>
    <t>选择走大路还是小路？;选择走大路，有多少怪物都来吧;选择走小路，我喜欢做危险小的事情</t>
  </si>
  <si>
    <t>Choose the road or the path? ;Choose the road, no matter how many monsters are not afraid;I choose to take a small path, I like to do small dangerous things</t>
  </si>
  <si>
    <t>我听守护者说这里来了一个爱冒险的小子，没想到这么快就见到你了！;那只怪物只是这里怪物的前锋，危险还在后面呢。;你看到前面那有条小路和一条大路了嘛，你可以选择走小路，哪里是怪物不会太多，但是路有点难走，需要花点时间，但是你也可以选择走大路，但是哪里的怪物就比较多了，但是相对时间会少一些;既然你选择走大路，遇到的危险一定很多，这个东西或许你能用的上，你拿走吧~</t>
  </si>
  <si>
    <t>I heard the guardian say that here is an adventurous kid, I didn't expect to see you so soon! ;That monster is just the front of the monster here, the danger is still behind. ;Do you see that there is a small road and a large road in front? You can choose to take the small road, where there are not too many monsters, but the road is a bit difficult to take, and it takes time, but you can also choose to take the large road, but the monsters there It ’s more, but it will take less time ;Since you choose to take the road, there must be a lot of dangers. You may use this thing. Take it away ~</t>
  </si>
  <si>
    <t>我听守护者说这里来了一个爱冒险的小子，没想到这么快就见到你了！;那只怪物只是这里怪物的前锋，危险还在后面呢。;你看到前面那有条小路和一条大路了嘛，你可以选择走小路，哪里是怪物不会太多，但是路有点难走，需要花点时间，但是你也可以选择走大路，但是哪里的怪物就比较多了，但是相对时间会少一些;既然你选择走小路，那么你遇到的危险一定很小，那这个东西你应该用不上了，再见~</t>
  </si>
  <si>
    <t>I heard the guardian say that here is an adventurous kid, I didn't expect to see you so soon! ;That monster is just the front of the monster here, the danger is still behind. ;Do you see that there is a small road and a large road in front? You can choose to take the small road, where there are not too many monsters, but the road is a bit difficult to take, and it takes time, but you can also choose to take the large road, but the monsters there It ’s more, but it will take less time ;Since you choose to take a small path, the danger you encounter must be very small, then you should not use this thing, goodbye ~</t>
  </si>
  <si>
    <t>嘿嘿，还好吧，刚才那个大BOSS对我来说就是手到擒来，没什么难度，嘻嘻。;那我也不怕，你告诉我下面我应该去哪里找他们。;;谢谢你给我指路，那我出发啦~</t>
  </si>
  <si>
    <t>Hehe, that's right. That big boss just now means nothing to me. It's not difficult. Hehe. ;That I am not afraid, you tell me where I should go next to find them. ;;Thank you for showing me the way. Then I'll go~</t>
  </si>
  <si>
    <t>Hehe, how are you? That big boss just now is easy for me. It's not difficult. Hehe. ;That I am not afraid, you tell me where I should go next to find them. ;;Thank you for showing me the way. Then I'll go~</t>
  </si>
  <si>
    <t>10015004,1</t>
  </si>
  <si>
    <t>路人认为他一定死了，是否安慰他？;你一定没事的，相信我;不安慰，我看他衣服不错,估计能卖不少钱呢</t>
  </si>
  <si>
    <t>Passers-by think he must be dead, comfort him? ;You must be fine, believe me ;No comfort, I think his clothes are good. I guess he can sell a lot of money.</t>
  </si>
  <si>
    <t>天呐，我在这里尽然发现了人类！;我是被菲尔斯抓来放到这里的。;我也好奇，本来以为我死定了，结果菲尔斯缺没有，而是把我放到这里。;但是在这里我发现了一件奇怪的事情，其实不光我，还有很多和我一样的人，他们都被剥夺了灵魂变成了一个个大蘑菇。;是！真是太可怕了。;我只知道前面是蘑菇王-洛加的地盘，如果你能侥幸打败他的话或许能知道一些什么。;我可能一会也会被剥夺灵魂吧，但愿保佑吧。</t>
  </si>
  <si>
    <t>God, I found humans here! ;I was brought here by Phils. ;I'm also curious, I would have thought dead, the result of the Phils did not kill me, but put me here. ;But here I found a strange thing. Actually, not only me, but also many people like me, they were deprived of their souls and turned into big mushrooms. ;Yes! It's terrible. ;All I know is in front of the king of mushrooms - UCLA site, if you can beat him, then perhaps lucky to know some of what. ;I may be deprived of my soul for a while, but I hope it will be blessed.</t>
  </si>
  <si>
    <t>喂，你是谁啊？;你是被菲尔斯抓来的？那你怎么还活着？;;蘑菇？你说这里的蘑菇人都是人变的?;那怎么办？有什么办法能拯救这里的人么，他们真是太惨了。;那我先出发了，你在这里呆着不要乱跑！;;</t>
  </si>
  <si>
    <t>Hey, who are you? ;Did you get caught by Phils? Why are you still alive? ;;Mushroom? Do you think the mushroom people here are all human beings;What can we do? Is there any way to save the people here? They are so miserable. ;Then I set off first, you stay here don't run around! ;;</t>
  </si>
  <si>
    <t>Hello, who are you? ;Did you get caught by Phils? Why are you still alive? ;;Mushroom? Do you think the mushroom people here are all human beings;What can we do? Is there any way to save the people here? They are so miserable. ;Then I set off first, you stay here don't run around! ;;</t>
  </si>
  <si>
    <t>10010094,1</t>
  </si>
  <si>
    <t>是否跟随者巴沙赶紧撤退？;撤退 还是命要紧,赶紧溜;我是一名勇士，要面对这些困难</t>
  </si>
  <si>
    <t>Did you follow Bassa to retreat quickly? ;Retreat, life is important, hurry away ;I'm a warrior. I have to face these difficulties</t>
  </si>
  <si>
    <t>快跟着我跑，别留在这。;你不要命了啊，快跑啊。;我是上面派来的观察者，刚刚塔卢斯已经完成了祭祀，他的能力已经得到了非常大的提升，已经到了最终阶段，如果在不走的话就没有机会了！;赶紧走，什么挑战？不要命啦？;还算识相，记得赶紧走！</t>
  </si>
  <si>
    <t>Just follow me and don't stay here. ;Do you want to die? Run. ;I am the observer sent above. Just now Talus has completed the sacrifice, his ability has been greatly improved, and he has reached the final stage. If he does not leave, there will be no chance! ;Hurry up, what challenges? Do you want to give up your life? ;Fairly acquainted, remember to hurry up!</t>
  </si>
  <si>
    <t>快跟着我跑，别留在这。;你不要命了啊，快跑啊。;我是上面派来的观察者，刚刚塔卢斯已经完成了祭祀，他的能力已经得到了非常大的提升，已经到了最终阶段，如果在不走的话就没有机会了！;赶紧走，什么挑战？不要命啦？;哎，怎么能不听呢，我只好把我最近的研究成果给你了，你一定保重，我先走了！</t>
  </si>
  <si>
    <t>Just follow me and don't stay here. ;Do you want to die? Run. ;I am the observer sent above. Just now Talus has completed the sacrifice, his ability has been greatly improved, and he has reached the final stage. If he does not leave, there will be no chance! ;Hurry up, what challenges? Do you want to give up your life? ;Ah, how can you not listen to me? I have to give you my latest research results. You must take care of yourself. I'll go first!</t>
  </si>
  <si>
    <t>我刚才那边大门进来你让我跑，奇怪。;等等，那边发生了什么。;我已经到最后的挑战了嘛？;;</t>
  </si>
  <si>
    <t>I just came in the gate and you let me run, so strange. ;Wait, what happened over there. ;Have I reached the final challenge yet? ;;</t>
  </si>
  <si>
    <t>You let me run when I just got in the gate. It's strange. ;Wait, what happened over there. ;Have I reached the final challenge yet? ;;</t>
  </si>
  <si>
    <t>10031003,1</t>
  </si>
  <si>
    <t>小仙女在猜你给她带了什么礼物？;你猜我猜不猜;我才不猜呢，除非是只小柯基我兴许还理你</t>
  </si>
  <si>
    <t>The fairy is guessing what present you have brought her? ;Guess I guess not guess!;I'm not guessing, except for a little cocky. I might even talk to you</t>
  </si>
  <si>
    <t>哼，等你等得我头上都长蘑菇了，你才来！;让我想想！嘻嘻;不猜了，这没劲！看上次那劲，说不准是给我带了个保温杯！</t>
  </si>
  <si>
    <t>Hum,i wait you until there are mushrooms on my head before you come! ;Let me see! Hee hee ;Don't guess, it's boring! Seeing that last time, maybe you brought me a thermos cup!</t>
  </si>
  <si>
    <t>哼，等你等得我头上都长蘑菇了，你才来！;让我想想！嘻嘻;回头我们在院子里养好多好多只大屁股柯基，想想就开心死了</t>
  </si>
  <si>
    <t>Hum, wait until you have mushrooms on my head before you come! ;Let me see! Hee hee ;We'll have a lot of big butts in the yard. I'm so happy to think about it</t>
  </si>
  <si>
    <t>怪我，怪我，猜我给你带了什么？;;</t>
  </si>
  <si>
    <t>Blame me, blame me, guess what I brought you? ;;</t>
  </si>
  <si>
    <t>10010028,1</t>
  </si>
  <si>
    <t>10010029,1</t>
  </si>
  <si>
    <t>第五章冒险开启！</t>
  </si>
  <si>
    <t>是否请求他的帮助？;请求帮助，或许对我有用;我才不要，他要是能帮助我还会在这里么</t>
  </si>
  <si>
    <t>Ask for his help? ;Ask for help, maybe it works for me ;I don't want it. If he could help, would I still be here</t>
  </si>
  <si>
    <t>天呐，不敢相信我的眼睛，我竟然见到活人了！;其实在很多年前我也是跟你一样的冒险者，后来到这里时我被这里的魔王发现，就被灵魂掏空在这里。让我永远在这里驻守，让我以我自己的经历告诫这些来犯者的下场。;所以我劝你还是早点回去的吧，这里的黑暗能量是我见过最强的，你是不可能打败他们的。;那祝你好运了，或许我能帮你什么？;在这里这么长的时间我发现他们也不是什么都不怕的，他们很怕一种圣光的力量，这个小东西是我在附近游晃的时候捡到的，传说这里有股圣光的能量，希望你能好好的利用它。</t>
  </si>
  <si>
    <t>Oh my god, can't believe my eyes, I even saw a living person! ;In fact, I was a adventurer like you many years ago. When I came here, I was found by the devil here, and my soul was hollowed out here. Let me stay here forever, let me tell these offenders the fate with my own experience. ;So I advise you to go back early. The dark energy here is the strongest I have ever seen, and you cannot defeat them. ;Good luck, maybe what can I help you with? ;I have found that they are not afraid of anything for such a long time. They are afraid of the power of a holy light. This little thing was picked up when I was walking around. It is said that there is the energy of holy light here. I hope you can make good use of it.</t>
  </si>
  <si>
    <t>天呐，不敢相信我的眼睛，我竟然见到活人了！;其实在很多年前我也是跟你一样的冒险者，后来到这里时我被这里的魔王发现，就被灵魂掏空在这里。让我永远在这里驻守，让我以我自己的经历告诫这些来犯者的下场。;所以我劝你还是早点回去的吧，这里的黑暗能量是我见过最强的，你是不可能打败他们的。;那祝你好运了，或许我能帮你什么？;如果你不需要我的帮助，那我就把我的宝物留给后面的冒险者吧，再见！</t>
  </si>
  <si>
    <t>Oh my god, can't believe my eyes, I even saw a living person! ;In fact, I was a adventurer like you many years ago. When I came here, I was found by the devil here, and my soul was hollowed out here. Let me stay here forever, let me tell these offenders the fate with my own experience. ;So I advise you to go back early. The dark energy here is the strongest I have ever seen, and you cannot defeat them. ;Good luck, maybe what can I help you with? ;If you don't need my help, I'll leave my treasure to the adventurer behind. Goodbye!</t>
  </si>
  <si>
    <t>？？？ 什么鬼，有这么惊讶么，还有你自己难道不是活人嘛？;;谢谢你告诉我这些，但是我还是决定我要继续我的冒险，或许我的运气能比你好一点吧。;;</t>
  </si>
  <si>
    <t>? ? ? What the hell, are you so surprised, and you are not a living person? ;;Thank you for telling me this, but I still decided to continue my adventure. Maybe my luck is better than yours. ;;</t>
  </si>
  <si>
    <t>10015005,1</t>
  </si>
  <si>
    <t>是不是新来的？;对！没错我是新来的;新来的？你好好看看我是谁！</t>
  </si>
  <si>
    <t>New here? ;Correct! Yeah, I'm new here!newcomer; Look at who I am!</t>
  </si>
  <si>
    <t>喂，那个家伙，你站住，给你过来。;我是恶魔大厅的引路人，所有要进入恶魔大厅的人都要先经过我才能进入，我看你很面生，你是不是新来的？;以后记得带上通行证啊，好啦进去吧！</t>
  </si>
  <si>
    <t>Hey, guy, stand still and come over here. ;I'm the demon portal. All the people who want to enter the devil hall must pass through me before entering. I see you are very familiar. Are you new here? ;After remember to bring passport ah, well into it!</t>
  </si>
  <si>
    <t>喂，那个家伙，你站住，给你过来。;我是恶魔大厅的引路人，所有要进入恶魔大厅的人都要先经过我才能进入，我看你很面生，你是不是新来的？;哎，算了算了！最近年纪大眼睛都花了，这个东西你拿着吧，以后从这里走的时候要记得跟我打招呼，再怎么说我在这里还是有点地位的。</t>
  </si>
  <si>
    <t>Hey, guy, stand still and come over here. ;I'm the demon portal. All the people who want to enter the devil hall must pass through me before entering. I see you are very familiar. Are you new here? ;Oh, forget it! I've got big eyes recently. Take this thing. Remember to say hello to me when you leave here. Anyway, I still have a position here.</t>
  </si>
  <si>
    <t>你是谁？为什么会在这里。;;知道啦，那我有事先进去啦！</t>
  </si>
  <si>
    <t>Who are you? Why is it here. ;;I know. I'll go first if I have something to do!</t>
  </si>
  <si>
    <t>是否有什么遗言或者东西交给最后的幸存者？;相信我，我会击败那条万恶的远古巨龙;让我想想，我的遗言该写什么呢？</t>
  </si>
  <si>
    <t>Are there any last words or things left to the last survivor? ;Believe me, I will slay that evil ancient dragon ;Let me think, what should I write in my last words?</t>
  </si>
  <si>
    <t>喂！小点声~;可能我是距离大魔王最近的幸存者吧？;我是从后面小路偷偷溜进来的，传说这里有把圣剑，如果我能偷到的话我就能变成这个世界上最厉害的人。;但是当我来到这里的时候我才发现这里的黑暗能量太强大了，我根本无法靠近！在回头发现我来的那条小路已经塌掉了，我就只能在这里呆着，期望他们不会发现我。;我只知道里面的远古巨龙拥有这个世界最强大的力量，如果想拿到那把圣剑必须要击败它才可以。;那你是否有什么遗言或者东西给我,如果我有幸找到另一条出去的路可以帮你传达到你的遗言到你的家里。;既然你有这样的气魄，是条汉子，这个东西你拿走吧，或许对你来说会非常有用。</t>
  </si>
  <si>
    <t>Hey! Be quiet ~ ;Maybe I'm the closest survivor to the great demon? ;I sneaked in from the back path. Legend has it that there is a holy sword. If I can steal it, I can become the most powerful person in the world. ;But when I came here, I realized that the dark energy here was so powerful that I couldn't approach it at all! When I turned around and found that the path I came from had collapsed, I could only stay here, hoping that they would not find me. ;All I know is that the ancient dragon inside has the most powerful force in the world. If you want to get that holy sword, you must defeat it. ;Do you have any last words or things for me, if I am lucky enough to find another way out, I can help you convey your last words to your home. ;Since you have this kind of spirit, you are a really man. Take this thing away, it may be very useful to you.</t>
  </si>
  <si>
    <t>喂！小点声~;可能我是距离大魔王最近的幸存者吧？;我是从后面小路偷偷溜进来的，传说这里有把圣剑，如果我能偷到的话我就能变成这个世界上最厉害的人。;但是当我来到这里的时候我才发现这里的黑暗能量太强大了，我根本无法靠近！在回头发现我来的那条小路已经塌掉了，我就只能在这里呆着，期望他们不会发现我。;我只知道里面的远古巨龙拥有这个世界最强大的力量，如果想拿到那把圣剑必须要击败它才可以。;那你是否有什么遗言或者东西给我,如果我有幸找到另一条出去的路可以帮你传达到你的遗言到你的家里。;别想了，我就是随口一说，因为我也出不去，我只是试探你一下有没有勇气，如果有勇气我就把我的宝物给你让你去战胜恶龙呢，现在我觉得我们俩还是一起等别人来吧。</t>
  </si>
  <si>
    <t>Hey! Be quiet ~ ;Maybe I'm the closest survivor to the great demon? ;I sneaked in from the back path. Legend has it that there is a holy sword. If I can steal it, I can become the most powerful person in the world. ;But when I came here, I realized that the dark energy here was so powerful that I couldn't approach it at all! When I turned around and found that the path I came from had collapsed, I could only stay here, hoping that they would not find me. ;All I know is that the ancient dragon inside has the most powerful force in the world. If you want to get that holy sword, you must defeat it. ;Do you have any last words or things for me, if I am lucky enough to find another way out, I can help you convey your last words to your home. ;Don't think about it. I just say it casually, because I can't go out either. I'm just testing your courage. If you have the courage, I'll give you my treasure and let you defeat the dragon. Now I think we should wait for others to come together.</t>
  </si>
  <si>
    <t>咦？这里怎么会有人;发生了什么？;;那你在这里有没有什么发现？;那你在这里等我，等我把这个该死的恶魔击败后我在带你回家。;;那你在这里等我，等我把这个该死的恶魔击败后我就带你回家。</t>
  </si>
  <si>
    <t>Huh? Why is there someone here?;What happened? ;;So what do you find here? ;Then wait for me here. I'll take you home after I kill this damned devil. ;;Then wait here for me, and I will take you home after I slay this damn demon.</t>
  </si>
  <si>
    <t>10025012,3</t>
  </si>
  <si>
    <t>我的天，没想到，你竟然打败了远古巨龙！;;;</t>
  </si>
  <si>
    <t>My God, I didn't expect you to defeat the ancient dragon! ;;;</t>
  </si>
  <si>
    <t>一切都已经结束了，我也该回去了，我想我已经找到爷爷了。;也许在这披襟斩棘的一路上，爷爷一直在远方为我祈祷。;也许存在某个平行世界，某个灵魂纬度，爷爷从未忘记引导我成为一个像他一样勇敢的人。;我要替他去多多经历这个美好的世界，以便将来有一天遇到爷爷，和他侃侃而谈，如果可以的话。</t>
  </si>
  <si>
    <t>Everything is over. I should go back. I think I have already found my Grandpa. ;Perhaps along the way, Grandpa has been praying for me in the distance. ;Maybe there is a parallel world, a soul latitude, grandpa has never forgotten to guide me to become a brave man like him. ;I want to experience this wonderful world for him, so that I can meet my grandfather one day and talk with him if I can.</t>
  </si>
  <si>
    <t>希望你能永远保护我，谢谢你小勇士！</t>
  </si>
  <si>
    <t>I think it's time for me to marry you, I hope you can protect me forever and forever!0000000000</t>
  </si>
  <si>
    <t/>
  </si>
  <si>
    <t>10010078,1</t>
  </si>
  <si>
    <t>NPC是</t>
  </si>
  <si>
    <t>NPC否</t>
  </si>
  <si>
    <t>我的对话是</t>
  </si>
  <si>
    <t>我的对话否</t>
  </si>
  <si>
    <t>不可思议！你是我这么长时间见到第一个能把饥饿龙杀死的挑战者。</t>
  </si>
  <si>
    <t>嘿嘿，虽然受了点伤，但是应该没什么问题。</t>
  </si>
  <si>
    <t>我这里有点药，你先拿去包扎一下伤口吧.</t>
  </si>
  <si>
    <t>哈哈，我喜欢你的这个脾气，跟我小时候一样！这个装备你拿着，一定能帮你很大的忙！</t>
  </si>
  <si>
    <t>哎呀，刚想起来药用完了，那我给你包扎一下吧！十分钟后……  好啦 包扎好了！既然好了，那个极品装备你也用不上啦！再见！</t>
  </si>
  <si>
    <t>谢谢，那我继续挑战后面的怪物啦！</t>
  </si>
  <si>
    <t>是否请求他的帮助？A：请求帮助，或许对我有用 B：我才不要，他要是能帮助我还会在这里么</t>
  </si>
  <si>
    <t>是否有什么遗言或者东西交给最后的幸存者？A：相信我，我会斩杀那条万恶的远古巨龙 B：让我想想，我的遗言该写什么呢？</t>
  </si>
  <si>
    <t>咦？这里怎么会有人;发生了什么？;;那你在这里有没有什么发现？;那你在这里等我，等我把这个该死的恶魔斩杀后我在带你回家。;;那你在这里等我，等我把这个该死的恶魔斩杀后我就带你回家。</t>
  </si>
  <si>
    <t>我想我是时候嫁给你了,希望你能永远保护我，永远永远！</t>
  </si>
  <si>
    <t>天呐，我在这里尽然发现了人类！;我是被菲尔斯抓来放到这里的。;我也好奇，本来以为我死定了，结果菲尔斯缺没有杀我，而是把我放到这里。;但是在这里我发现了一件奇怪的事情，其实不光我，还有很多和我一样的人，他们都被剥夺了灵魂变成了一个个大蘑菇。;是！真是太可怕了。;我只知道前面是蘑菇王-洛加的地盘，如果你能侥幸打败他的话或许能知道一些什么。;我可能一会也会被剥夺灵魂吧，但愿保佑吧。</t>
  </si>
  <si>
    <t>喂，你是谁啊？;你是被菲尔斯抓来的？那你怎么还活着？;;蘑菇？你说这里的蘑菇人都是人变的?;那怎么办？有什么办法能拯救这里的人么，他们真是太惨了。;那我先出发了，你在这里呆着不要乱跑！;</t>
  </si>
  <si>
    <t>是否接受药品？;我没受伤，凭啥给我药！;谢谢，这个对我很有用</t>
  </si>
  <si>
    <t>不可思议！你是我这么长时间见到第一个能把饥饿龙杀死的挑战者。;我这里有点药，你先拿去包扎一下伤口吧.;哈哈，我喜欢你的这个脾气，跟我小时候一样！这个装备你拿着，一定能帮你很大的忙！</t>
  </si>
  <si>
    <t>不可思议！你是我这么长时间见到第一个能把饥饿龙杀死的挑战者。;我这里有点药，你先拿去包扎一下伤口吧.;哎呀，刚想起来药用完了，那我给你包扎一下吧！十分钟后……  好啦 包扎好了！既然好了，那个极品装备你也用不上啦！再见！</t>
  </si>
  <si>
    <t>我从那边大门走进来的啊;看见啦，我就是把它杀死了以后大步迈进来的。;拍拍胸！有我在，以后我带你走大路！;;</t>
  </si>
  <si>
    <t>小勇士快过来！听说最近有个小勇士很厉害应该就是你把。;刚才你杀死巨斧守卫的时候我在旁边偷偷的看到了，你拥有很强大的能力。;不管怎么样，既然你能把巨斧守卫击败，就说明你是已经拥有了挑战最后BOSS的实力。;你如果愿意接受这个挑战，我就把这里的秘密告诉你。;秘密就是：&amp;#@￥！@#￥#%#￥  嗯，嘿嘿！没了~  来自作者恶意的笑~</t>
  </si>
  <si>
    <t>小勇士快过来！听说最近有个小勇士很厉害应该就是你把。;刚才你杀死巨斧守卫的时候我在旁边偷偷的看到了，你拥有很强大的能力。;不管怎么样，既然你能把巨斧守卫击败，就说明你是已经拥有了挑战最后BOSS的实力。;你如果愿意接受这个挑战，我就把这里的秘密告诉你。;既然不想听那就算了，好不容易忽悠一个挑战者来可不能让你跑了！这个装备你拿着吧，不过答应我，拿着可别跑啦！</t>
  </si>
  <si>
    <t>嘿嘿，我就说我很强嘛。;;</t>
  </si>
  <si>
    <t>上次小仙女给你包扎的伤口怎么样啦？;伤口早好啦，我的身体超棒的！;我的这个伤口永远都不会好啦,嘻嘻！</t>
  </si>
  <si>
    <t>哎呀呀，这是哪阵大风把我们的小勇士给吹来啦！;上次我给你包扎的伤口怎么样啦？;走开啦，你怎么那么坏！这里有个东西，是我前几天在集市上买的说不定你能用上。;我叫你走开点啦~;好，那你就在这里呆一会吧，一直待着我看你能待到什么时候。;再见，不送！哼~</t>
  </si>
  <si>
    <t>Hi~很高兴见到你！;我是一名旅行者，喜欢到世界各地去探险，前几天我在前面的树林里看到了一只很大的怪兽，它差一点就要吃了我。;是的，一只巨大的怪兽，不过我幸亏我泡的快侥幸躲过一劫，现在想想就后怕！;你疯啦，那很危险的！;好吧，还是你勇敢！那只怪兽就在那边森林的深处，不过我劝你还是不要过去了。</t>
  </si>
  <si>
    <t>你是？;什么？怪兽？;怪兽在哪，快告诉我！;别担心，那不算什么，我刚刚还杀了红狼王呢，还没过够瘾呢！你告诉我怪兽在哪里就可以啦。;谢谢你，我这就出发啦！</t>
  </si>
  <si>
    <t>天呐，你竟然把他给杀死了！;我太崇拜你了！这样吧，多年前我探险的时候无意得到了一个宝物，只要你出200个金币就可以得到它！;你就不怕我是骗子嘛？哈哈！你这么相信我，我也不会让你失望的，这个东西你收好！再见啦，勇士！</t>
  </si>
  <si>
    <t>天呐，你竟然把他给杀死了！;我太崇拜你了！这样吧，多年前我探险的时候无意得到了一个宝物，只要你出200个金币就可以得到它！;哦呦？既然你这样说那就算了吧，有缘下次再见！</t>
  </si>
  <si>
    <t>婆婆想给予你奖励，你想要什么奖励?;我要装备！;我要经验！</t>
  </si>
  <si>
    <t>我终于见到你了，小勇士！;我没见过你，但是你杀死红狼王和巨手傀儡的消息已经在小镇传开了，我当然也知道。;你可别骄傲啊，小勇士，这才是刚刚开始呢，为了鼓励你的表现，我要给你一份奖励,你要好好选择，注意是好好的选择，邪恶的婆婆笑……;嘿嘿……;哈哈，你以为我会给你装备？ 天真！ 就给你经验！</t>
  </si>
  <si>
    <t>我终于见到你了，小勇士！;我没见过你，但是你杀死红狼王和巨手傀儡的消息已经在小镇传开了，我当然也知道。;你可别骄傲啊，小勇士，这才是刚刚开始呢，为了鼓励你的表现，我要给你一份奖励,你要好好选择，注意是好好的选择，邪恶的婆婆笑……;嘿嘿……;哈哈，你以为我会给你经验？ 天真！ 就给你装备！</t>
  </si>
  <si>
    <t>什么，你见过我嘛，婆婆。;嘿嘿，没想到我现在也有名气啦，这种出门被认识的感觉真的超级好！;;</t>
  </si>
  <si>
    <t>果然你的能力已经足够强大了，这附近有一只狼王，我来这里就是为了监视那只狼王，如果让它到小镇上那可是一件很恐怖的事情。;就在前面那个山坡上，一路小心，勇士，等你胜利归来的消息。;嘿嘿……;哈哈，你以为我会给你装备？ 天真！ 就给你装备！</t>
  </si>
  <si>
    <t>果然你的能力已经足够强大了，这附近有一只狼王，我来这里就是为了监视那只狼王，如果让它到小镇上那可是一件很恐怖的事情。;就在前面那个山坡上，一路小心，勇士，等你胜利归来的消息。;嘿嘿……;哈哈，你以为我会给你经验？ 天真！ 就给你经验！</t>
  </si>
  <si>
    <t>狼王在哪，我感觉我的热血又开始沸腾了！;;</t>
  </si>
  <si>
    <t>邀请守护者一起打败树王拿到药材？;跟我一起去打败那只树王吧！;我要自己杀，这样宝物都是自己的!</t>
  </si>
  <si>
    <t>你是谁，你是怎么来到这里的！;小点声，你进来的时候狼王有没有看到你，要是被门口的狼王听到我们就死定了。;啊！什么，你把那只可怕的狼王给杀死了？;简直不敢相信，我是趁着它睡着时偷偷溜进来的这里的，听说这里有个树王有种的宝物，能拿到它的话估计能换不少钱呢。;我就不去了，我知道冒险者你很厉害，这个宝物或许对你有用，你拿去吧。</t>
  </si>
  <si>
    <t>你是谁，你是怎么来到这里的！;小点声，你进来的时候狼王有没有看到你，要是被门口的狼王听到我们就死定了。;啊！什么，你把那只可怕的狼王给杀死了？;简直不敢相信，我是趁着它睡着时偷偷溜进来的这里的，听说这里有个树王有种的宝物，能拿到它的话估计能换不少钱呢。;本来我有一件很厉害的宝物要给你，既然你都这么强了，那就是不需要这件超厉害宝物了！记得是超厉害喔！HHHHHHH~</t>
  </si>
  <si>
    <t>我是一名小小的冒险者，我是追寻着我爷爷的日记才来到这里的。;喔？就是刚才被我杀死的那只大傻狼嘛？;不信你我看我背包里的战利品就是刚从它身上拿的。;;</t>
  </si>
  <si>
    <t>很高兴又再次见到您！小勇士！;现在前面有一只大的软泥怪挡住了我们前进的道路，你去清理一下，我相信你的能力，事后我会给你丰厚的回报！;果然没看错你，我欣赏你的勇气，去吧，既然你不要丰厚的报酬，那么送给你一句祝福吧，加油！（偷笑中……）</t>
  </si>
  <si>
    <t>强大的树王就在前面了，你准备好了么？;既然准备好啦，那就去吧！我自己收藏了十年的一把镶满珍珠钻石的武器就不给你了，再见！</t>
  </si>
  <si>
    <t>是否让小仙女给你包扎伤口？;小仙女好漂亮，我要趁机接近她！;不要不要，我配不上她，我要跑！</t>
  </si>
  <si>
    <t>你好，小勇士！;听爷爷说你特别勇敢，竟然战胜了树王。;别逞强啦，你看你的伤口还在那流血呢，来我给你包扎一下。;看你色眯眯的样子就感觉你伤口已经好了，不用包扎了！;你羞涩的样子还是挺可爱的嘛，怎么不像刚才那样逞强啦？;后会有期！</t>
  </si>
  <si>
    <t>你好，小勇士！;听爷爷说你特别勇敢，竟然战胜了树王。;别逞强啦，你看你的伤口还在那流血呢，来我给你包扎一下。;站住，你敢跑，看我不打死你，快过来！;你羞涩的样子还是挺可爱的嘛，怎么不像刚才那样逞强啦？;后会有期！</t>
  </si>
</sst>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1" formatCode="_ * #,##0_ ;_ * \-#,##0_ ;_ * &quot;-&quot;_ ;_ @_ "/>
    <numFmt numFmtId="44" formatCode="_ &quot;￥&quot;* #,##0.00_ ;_ &quot;￥&quot;* \-#,##0.00_ ;_ &quot;￥&quot;* &quot;-&quot;??_ ;_ @_ "/>
  </numFmts>
  <fonts count="33">
    <font>
      <sz val="11"/>
      <color theme="1"/>
      <name val="宋体"/>
      <charset val="134"/>
      <scheme val="minor"/>
    </font>
    <font>
      <sz val="10"/>
      <color theme="0"/>
      <name val="宋体"/>
      <charset val="134"/>
      <scheme val="minor"/>
    </font>
    <font>
      <sz val="10"/>
      <color theme="0"/>
      <name val="宋体"/>
      <charset val="134"/>
      <scheme val="minor"/>
    </font>
    <font>
      <sz val="10"/>
      <color rgb="FFFF0000"/>
      <name val="宋体"/>
      <charset val="134"/>
      <scheme val="minor"/>
    </font>
    <font>
      <sz val="10"/>
      <color theme="1"/>
      <name val="宋体"/>
      <charset val="134"/>
      <scheme val="minor"/>
    </font>
    <font>
      <sz val="10"/>
      <color theme="1"/>
      <name val="宋体"/>
      <charset val="134"/>
      <scheme val="minor"/>
    </font>
    <font>
      <sz val="11"/>
      <color rgb="FFFF0000"/>
      <name val="宋体"/>
      <charset val="134"/>
      <scheme val="minor"/>
    </font>
    <font>
      <sz val="11"/>
      <color theme="1"/>
      <name val="宋体"/>
      <charset val="134"/>
      <scheme val="minor"/>
    </font>
    <font>
      <sz val="11"/>
      <color rgb="FF9C6500"/>
      <name val="宋体"/>
      <charset val="0"/>
      <scheme val="minor"/>
    </font>
    <font>
      <b/>
      <sz val="11"/>
      <color rgb="FFFA7D00"/>
      <name val="宋体"/>
      <charset val="0"/>
      <scheme val="minor"/>
    </font>
    <font>
      <b/>
      <sz val="13"/>
      <color theme="3"/>
      <name val="宋体"/>
      <charset val="134"/>
      <scheme val="minor"/>
    </font>
    <font>
      <b/>
      <sz val="18"/>
      <color theme="3"/>
      <name val="宋体"/>
      <charset val="134"/>
      <scheme val="minor"/>
    </font>
    <font>
      <sz val="11"/>
      <color rgb="FF3F3F76"/>
      <name val="宋体"/>
      <charset val="0"/>
      <scheme val="minor"/>
    </font>
    <font>
      <sz val="11"/>
      <color theme="0"/>
      <name val="宋体"/>
      <charset val="0"/>
      <scheme val="minor"/>
    </font>
    <font>
      <b/>
      <sz val="11"/>
      <color rgb="FFFFFFFF"/>
      <name val="宋体"/>
      <charset val="0"/>
      <scheme val="minor"/>
    </font>
    <font>
      <b/>
      <sz val="11"/>
      <color theme="3"/>
      <name val="宋体"/>
      <charset val="134"/>
      <scheme val="minor"/>
    </font>
    <font>
      <sz val="11"/>
      <color theme="1"/>
      <name val="宋体"/>
      <charset val="0"/>
      <scheme val="minor"/>
    </font>
    <font>
      <sz val="11"/>
      <color rgb="FF9C0006"/>
      <name val="宋体"/>
      <charset val="0"/>
      <scheme val="minor"/>
    </font>
    <font>
      <u/>
      <sz val="11"/>
      <color rgb="FF800080"/>
      <name val="宋体"/>
      <charset val="0"/>
      <scheme val="minor"/>
    </font>
    <font>
      <u/>
      <sz val="11"/>
      <color rgb="FF0000FF"/>
      <name val="宋体"/>
      <charset val="0"/>
      <scheme val="minor"/>
    </font>
    <font>
      <sz val="11"/>
      <color rgb="FFFF0000"/>
      <name val="宋体"/>
      <charset val="0"/>
      <scheme val="minor"/>
    </font>
    <font>
      <i/>
      <sz val="11"/>
      <color rgb="FF7F7F7F"/>
      <name val="宋体"/>
      <charset val="0"/>
      <scheme val="minor"/>
    </font>
    <font>
      <sz val="11"/>
      <color rgb="FFFA7D00"/>
      <name val="宋体"/>
      <charset val="0"/>
      <scheme val="minor"/>
    </font>
    <font>
      <b/>
      <sz val="15"/>
      <color theme="3"/>
      <name val="宋体"/>
      <charset val="134"/>
      <scheme val="minor"/>
    </font>
    <font>
      <sz val="11"/>
      <color rgb="FF006100"/>
      <name val="宋体"/>
      <charset val="0"/>
      <scheme val="minor"/>
    </font>
    <font>
      <sz val="11"/>
      <color theme="1"/>
      <name val="Tahoma"/>
      <charset val="134"/>
    </font>
    <font>
      <b/>
      <sz val="11"/>
      <color theme="1"/>
      <name val="宋体"/>
      <charset val="0"/>
      <scheme val="minor"/>
    </font>
    <font>
      <b/>
      <sz val="11"/>
      <color rgb="FF3F3F3F"/>
      <name val="宋体"/>
      <charset val="0"/>
      <scheme val="minor"/>
    </font>
    <font>
      <sz val="11"/>
      <color theme="1"/>
      <name val="宋体"/>
      <charset val="134"/>
      <scheme val="minor"/>
    </font>
    <font>
      <sz val="9"/>
      <name val="Tahoma"/>
      <charset val="134"/>
    </font>
    <font>
      <b/>
      <sz val="9"/>
      <name val="Tahoma"/>
      <charset val="134"/>
    </font>
    <font>
      <sz val="9"/>
      <name val="宋体"/>
      <charset val="134"/>
    </font>
    <font>
      <b/>
      <sz val="9"/>
      <name val="宋体"/>
      <charset val="134"/>
    </font>
  </fonts>
  <fills count="35">
    <fill>
      <patternFill patternType="none"/>
    </fill>
    <fill>
      <patternFill patternType="gray125"/>
    </fill>
    <fill>
      <patternFill patternType="solid">
        <fgColor theme="1" tint="0.249977111117893"/>
        <bgColor indexed="64"/>
      </patternFill>
    </fill>
    <fill>
      <patternFill patternType="solid">
        <fgColor theme="0" tint="-0.149998474074526"/>
        <bgColor indexed="64"/>
      </patternFill>
    </fill>
    <fill>
      <patternFill patternType="solid">
        <fgColor rgb="FFFFEB9C"/>
        <bgColor indexed="64"/>
      </patternFill>
    </fill>
    <fill>
      <patternFill patternType="solid">
        <fgColor rgb="FFF2F2F2"/>
        <bgColor indexed="64"/>
      </patternFill>
    </fill>
    <fill>
      <patternFill patternType="solid">
        <fgColor rgb="FFFFCC99"/>
        <bgColor indexed="64"/>
      </patternFill>
    </fill>
    <fill>
      <patternFill patternType="solid">
        <fgColor theme="4"/>
        <bgColor indexed="64"/>
      </patternFill>
    </fill>
    <fill>
      <patternFill patternType="solid">
        <fgColor rgb="FFA5A5A5"/>
        <bgColor indexed="64"/>
      </patternFill>
    </fill>
    <fill>
      <patternFill patternType="solid">
        <fgColor theme="6" tint="0.799981688894314"/>
        <bgColor indexed="64"/>
      </patternFill>
    </fill>
    <fill>
      <patternFill patternType="solid">
        <fgColor rgb="FFFFC7CE"/>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theme="7"/>
        <bgColor indexed="64"/>
      </patternFill>
    </fill>
    <fill>
      <patternFill patternType="solid">
        <fgColor rgb="FFC6EFCE"/>
        <bgColor indexed="64"/>
      </patternFill>
    </fill>
    <fill>
      <patternFill patternType="solid">
        <fgColor theme="5"/>
        <bgColor indexed="64"/>
      </patternFill>
    </fill>
    <fill>
      <patternFill patternType="solid">
        <fgColor theme="8"/>
        <bgColor indexed="64"/>
      </patternFill>
    </fill>
    <fill>
      <patternFill patternType="solid">
        <fgColor theme="7" tint="0.399975585192419"/>
        <bgColor indexed="64"/>
      </patternFill>
    </fill>
    <fill>
      <patternFill patternType="solid">
        <fgColor theme="6"/>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9"/>
        <bgColor indexed="64"/>
      </patternFill>
    </fill>
    <fill>
      <patternFill patternType="solid">
        <fgColor theme="8" tint="0.599993896298105"/>
        <bgColor indexed="64"/>
      </patternFill>
    </fill>
    <fill>
      <patternFill patternType="solid">
        <fgColor theme="9" tint="0.399975585192419"/>
        <bgColor indexed="64"/>
      </patternFill>
    </fill>
  </fills>
  <borders count="12">
    <border>
      <left/>
      <right/>
      <top/>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58">
    <xf numFmtId="0" fontId="0" fillId="0" borderId="0"/>
    <xf numFmtId="42" fontId="7" fillId="0" borderId="0" applyFont="0" applyFill="0" applyBorder="0" applyAlignment="0" applyProtection="0">
      <alignment vertical="center"/>
    </xf>
    <xf numFmtId="0" fontId="16" fillId="9" borderId="0" applyNumberFormat="0" applyBorder="0" applyAlignment="0" applyProtection="0">
      <alignment vertical="center"/>
    </xf>
    <xf numFmtId="0" fontId="12" fillId="6" borderId="4" applyNumberFormat="0" applyAlignment="0" applyProtection="0">
      <alignment vertical="center"/>
    </xf>
    <xf numFmtId="44" fontId="7" fillId="0" borderId="0" applyFont="0" applyFill="0" applyBorder="0" applyAlignment="0" applyProtection="0">
      <alignment vertical="center"/>
    </xf>
    <xf numFmtId="41" fontId="7" fillId="0" borderId="0" applyFont="0" applyFill="0" applyBorder="0" applyAlignment="0" applyProtection="0">
      <alignment vertical="center"/>
    </xf>
    <xf numFmtId="0" fontId="16" fillId="13" borderId="0" applyNumberFormat="0" applyBorder="0" applyAlignment="0" applyProtection="0">
      <alignment vertical="center"/>
    </xf>
    <xf numFmtId="0" fontId="17" fillId="10" borderId="0" applyNumberFormat="0" applyBorder="0" applyAlignment="0" applyProtection="0">
      <alignment vertical="center"/>
    </xf>
    <xf numFmtId="43" fontId="7" fillId="0" borderId="0" applyFont="0" applyFill="0" applyBorder="0" applyAlignment="0" applyProtection="0">
      <alignment vertical="center"/>
    </xf>
    <xf numFmtId="0" fontId="13" fillId="15" borderId="0" applyNumberFormat="0" applyBorder="0" applyAlignment="0" applyProtection="0">
      <alignment vertical="center"/>
    </xf>
    <xf numFmtId="0" fontId="19" fillId="0" borderId="0" applyNumberFormat="0" applyFill="0" applyBorder="0" applyAlignment="0" applyProtection="0">
      <alignment vertical="center"/>
    </xf>
    <xf numFmtId="9" fontId="7" fillId="0" borderId="0" applyFont="0" applyFill="0" applyBorder="0" applyAlignment="0" applyProtection="0">
      <alignment vertical="center"/>
    </xf>
    <xf numFmtId="0" fontId="18" fillId="0" borderId="0" applyNumberFormat="0" applyFill="0" applyBorder="0" applyAlignment="0" applyProtection="0">
      <alignment vertical="center"/>
    </xf>
    <xf numFmtId="0" fontId="7" fillId="0" borderId="0"/>
    <xf numFmtId="0" fontId="7" fillId="21" borderId="7" applyNumberFormat="0" applyFont="0" applyAlignment="0" applyProtection="0">
      <alignment vertical="center"/>
    </xf>
    <xf numFmtId="0" fontId="13" fillId="20" borderId="0" applyNumberFormat="0" applyBorder="0" applyAlignment="0" applyProtection="0">
      <alignment vertical="center"/>
    </xf>
    <xf numFmtId="0" fontId="15"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7" fillId="0" borderId="0"/>
    <xf numFmtId="0" fontId="1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3" fillId="0" borderId="5" applyNumberFormat="0" applyFill="0" applyAlignment="0" applyProtection="0">
      <alignment vertical="center"/>
    </xf>
    <xf numFmtId="0" fontId="10" fillId="0" borderId="5" applyNumberFormat="0" applyFill="0" applyAlignment="0" applyProtection="0">
      <alignment vertical="center"/>
    </xf>
    <xf numFmtId="0" fontId="13" fillId="19" borderId="0" applyNumberFormat="0" applyBorder="0" applyAlignment="0" applyProtection="0">
      <alignment vertical="center"/>
    </xf>
    <xf numFmtId="0" fontId="15" fillId="0" borderId="9" applyNumberFormat="0" applyFill="0" applyAlignment="0" applyProtection="0">
      <alignment vertical="center"/>
    </xf>
    <xf numFmtId="0" fontId="13" fillId="26" borderId="0" applyNumberFormat="0" applyBorder="0" applyAlignment="0" applyProtection="0">
      <alignment vertical="center"/>
    </xf>
    <xf numFmtId="0" fontId="27" fillId="5" borderId="11" applyNumberFormat="0" applyAlignment="0" applyProtection="0">
      <alignment vertical="center"/>
    </xf>
    <xf numFmtId="0" fontId="9" fillId="5" borderId="4" applyNumberFormat="0" applyAlignment="0" applyProtection="0">
      <alignment vertical="center"/>
    </xf>
    <xf numFmtId="0" fontId="14" fillId="8" borderId="6" applyNumberFormat="0" applyAlignment="0" applyProtection="0">
      <alignment vertical="center"/>
    </xf>
    <xf numFmtId="0" fontId="16" fillId="29" borderId="0" applyNumberFormat="0" applyBorder="0" applyAlignment="0" applyProtection="0">
      <alignment vertical="center"/>
    </xf>
    <xf numFmtId="0" fontId="13" fillId="24" borderId="0" applyNumberFormat="0" applyBorder="0" applyAlignment="0" applyProtection="0">
      <alignment vertical="center"/>
    </xf>
    <xf numFmtId="0" fontId="22" fillId="0" borderId="8" applyNumberFormat="0" applyFill="0" applyAlignment="0" applyProtection="0">
      <alignment vertical="center"/>
    </xf>
    <xf numFmtId="0" fontId="26" fillId="0" borderId="10" applyNumberFormat="0" applyFill="0" applyAlignment="0" applyProtection="0">
      <alignment vertical="center"/>
    </xf>
    <xf numFmtId="0" fontId="24" fillId="23" borderId="0" applyNumberFormat="0" applyBorder="0" applyAlignment="0" applyProtection="0">
      <alignment vertical="center"/>
    </xf>
    <xf numFmtId="0" fontId="8" fillId="4" borderId="0" applyNumberFormat="0" applyBorder="0" applyAlignment="0" applyProtection="0">
      <alignment vertical="center"/>
    </xf>
    <xf numFmtId="0" fontId="16" fillId="30" borderId="0" applyNumberFormat="0" applyBorder="0" applyAlignment="0" applyProtection="0">
      <alignment vertical="center"/>
    </xf>
    <xf numFmtId="0" fontId="13" fillId="7" borderId="0" applyNumberFormat="0" applyBorder="0" applyAlignment="0" applyProtection="0">
      <alignment vertical="center"/>
    </xf>
    <xf numFmtId="0" fontId="16" fillId="31" borderId="0" applyNumberFormat="0" applyBorder="0" applyAlignment="0" applyProtection="0">
      <alignment vertical="center"/>
    </xf>
    <xf numFmtId="0" fontId="16" fillId="12" borderId="0" applyNumberFormat="0" applyBorder="0" applyAlignment="0" applyProtection="0">
      <alignment vertical="center"/>
    </xf>
    <xf numFmtId="0" fontId="16" fillId="14" borderId="0" applyNumberFormat="0" applyBorder="0" applyAlignment="0" applyProtection="0">
      <alignment vertical="center"/>
    </xf>
    <xf numFmtId="0" fontId="16" fillId="11" borderId="0" applyNumberFormat="0" applyBorder="0" applyAlignment="0" applyProtection="0">
      <alignment vertical="center"/>
    </xf>
    <xf numFmtId="0" fontId="13" fillId="27" borderId="0" applyNumberFormat="0" applyBorder="0" applyAlignment="0" applyProtection="0">
      <alignment vertical="center"/>
    </xf>
    <xf numFmtId="0" fontId="25" fillId="0" borderId="0"/>
    <xf numFmtId="0" fontId="13" fillId="22" borderId="0" applyNumberFormat="0" applyBorder="0" applyAlignment="0" applyProtection="0">
      <alignment vertical="center"/>
    </xf>
    <xf numFmtId="0" fontId="16" fillId="18" borderId="0" applyNumberFormat="0" applyBorder="0" applyAlignment="0" applyProtection="0">
      <alignment vertical="center"/>
    </xf>
    <xf numFmtId="0" fontId="16" fillId="28" borderId="0" applyNumberFormat="0" applyBorder="0" applyAlignment="0" applyProtection="0">
      <alignment vertical="center"/>
    </xf>
    <xf numFmtId="0" fontId="13" fillId="25" borderId="0" applyNumberFormat="0" applyBorder="0" applyAlignment="0" applyProtection="0">
      <alignment vertical="center"/>
    </xf>
    <xf numFmtId="0" fontId="7" fillId="0" borderId="0"/>
    <xf numFmtId="0" fontId="16" fillId="33" borderId="0" applyNumberFormat="0" applyBorder="0" applyAlignment="0" applyProtection="0">
      <alignment vertical="center"/>
    </xf>
    <xf numFmtId="0" fontId="13" fillId="17" borderId="0" applyNumberFormat="0" applyBorder="0" applyAlignment="0" applyProtection="0">
      <alignment vertical="center"/>
    </xf>
    <xf numFmtId="0" fontId="13" fillId="32" borderId="0" applyNumberFormat="0" applyBorder="0" applyAlignment="0" applyProtection="0">
      <alignment vertical="center"/>
    </xf>
    <xf numFmtId="0" fontId="16" fillId="16" borderId="0" applyNumberFormat="0" applyBorder="0" applyAlignment="0" applyProtection="0">
      <alignment vertical="center"/>
    </xf>
    <xf numFmtId="0" fontId="13" fillId="34" borderId="0" applyNumberFormat="0" applyBorder="0" applyAlignment="0" applyProtection="0">
      <alignment vertical="center"/>
    </xf>
    <xf numFmtId="0" fontId="0" fillId="0" borderId="0"/>
    <xf numFmtId="0" fontId="25" fillId="0" borderId="0"/>
    <xf numFmtId="0" fontId="28" fillId="0" borderId="0"/>
    <xf numFmtId="0" fontId="7" fillId="0" borderId="0"/>
    <xf numFmtId="0" fontId="28" fillId="0" borderId="0"/>
  </cellStyleXfs>
  <cellXfs count="17">
    <xf numFmtId="0" fontId="0" fillId="0" borderId="0" xfId="0"/>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1" fillId="2" borderId="2" xfId="0" applyFont="1" applyFill="1" applyBorder="1" applyAlignment="1">
      <alignment horizontal="center" vertical="center"/>
    </xf>
    <xf numFmtId="0" fontId="3" fillId="3" borderId="3" xfId="0" applyNumberFormat="1" applyFont="1" applyFill="1" applyBorder="1" applyAlignment="1">
      <alignment horizontal="center" vertical="center"/>
    </xf>
    <xf numFmtId="0" fontId="4" fillId="0" borderId="0" xfId="0" applyFont="1" applyAlignment="1">
      <alignment vertical="center"/>
    </xf>
    <xf numFmtId="0" fontId="0" fillId="0" borderId="0" xfId="0" applyAlignment="1">
      <alignment vertical="center"/>
    </xf>
    <xf numFmtId="0" fontId="5"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xf>
    <xf numFmtId="0" fontId="3" fillId="0" borderId="0" xfId="0" applyFont="1" applyAlignment="1">
      <alignment vertical="center"/>
    </xf>
    <xf numFmtId="0" fontId="5" fillId="0" borderId="0" xfId="0" applyFont="1" applyAlignment="1">
      <alignment vertical="center"/>
    </xf>
    <xf numFmtId="0" fontId="5" fillId="0" borderId="0" xfId="0" applyFont="1" applyAlignment="1">
      <alignment horizontal="right" vertical="center"/>
    </xf>
    <xf numFmtId="0" fontId="6" fillId="0" borderId="0" xfId="0" applyFont="1"/>
    <xf numFmtId="0" fontId="1" fillId="2" borderId="0" xfId="0" applyFont="1" applyFill="1" applyBorder="1" applyAlignment="1">
      <alignment horizontal="center" vertical="center"/>
    </xf>
    <xf numFmtId="49" fontId="3" fillId="3" borderId="3" xfId="0" applyNumberFormat="1" applyFont="1" applyFill="1" applyBorder="1" applyAlignment="1">
      <alignment horizontal="center" vertical="center"/>
    </xf>
    <xf numFmtId="0" fontId="7" fillId="0" borderId="0" xfId="47"/>
  </cellXfs>
  <cellStyles count="58">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60% - 强调文字颜色 2" xfId="15" builtinId="36"/>
    <cellStyle name="标题 4" xfId="16" builtinId="19"/>
    <cellStyle name="警告文本" xfId="17" builtinId="11"/>
    <cellStyle name="常规 5 2" xfId="18"/>
    <cellStyle name="标题" xfId="19" builtinId="15"/>
    <cellStyle name="解释性文本" xfId="20" builtinId="53"/>
    <cellStyle name="标题 1" xfId="21" builtinId="16"/>
    <cellStyle name="标题 2" xfId="22" builtinId="17"/>
    <cellStyle name="60% - 强调文字颜色 1" xfId="23" builtinId="32"/>
    <cellStyle name="标题 3" xfId="24" builtinId="18"/>
    <cellStyle name="60% - 强调文字颜色 4" xfId="25" builtinId="44"/>
    <cellStyle name="输出" xfId="26" builtinId="21"/>
    <cellStyle name="计算" xfId="27" builtinId="22"/>
    <cellStyle name="检查单元格" xfId="28" builtinId="23"/>
    <cellStyle name="20% - 强调文字颜色 6" xfId="29" builtinId="50"/>
    <cellStyle name="强调文字颜色 2" xfId="30" builtinId="33"/>
    <cellStyle name="链接单元格" xfId="31" builtinId="24"/>
    <cellStyle name="汇总" xfId="32" builtinId="25"/>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强调文字颜色 3" xfId="41" builtinId="37"/>
    <cellStyle name="常规 3 2" xfId="42"/>
    <cellStyle name="强调文字颜色 4" xfId="43" builtinId="41"/>
    <cellStyle name="20% - 强调文字颜色 4" xfId="44" builtinId="42"/>
    <cellStyle name="40% - 强调文字颜色 4" xfId="45" builtinId="43"/>
    <cellStyle name="强调文字颜色 5" xfId="46" builtinId="45"/>
    <cellStyle name="常规 2 2" xfId="47"/>
    <cellStyle name="40% - 强调文字颜色 5" xfId="48" builtinId="47"/>
    <cellStyle name="60% - 强调文字颜色 5" xfId="49" builtinId="48"/>
    <cellStyle name="强调文字颜色 6" xfId="50" builtinId="49"/>
    <cellStyle name="40% - 强调文字颜色 6" xfId="51" builtinId="51"/>
    <cellStyle name="60% - 强调文字颜色 6" xfId="52" builtinId="52"/>
    <cellStyle name="常规 2" xfId="53"/>
    <cellStyle name="常规 3" xfId="54"/>
    <cellStyle name="常规 4" xfId="55"/>
    <cellStyle name="常规 4 2" xfId="56"/>
    <cellStyle name="常规 5" xfId="57"/>
  </cellStyles>
  <dxfs count="1">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xmlMaps.xml><?xml version="1.0" encoding="utf-8"?>
<MapInfo xmlns="http://schemas.openxmlformats.org/spreadsheetml/2006/main" SelectionNamespaces="">
  <Schema ID="Schema2">
    <xsd:schema xmlns="" xmlns:xsd="http://www.w3.org/2001/XMLSchema">
      <xsd:element name="DateArea" nillable="true">
        <xsd:complexType>
          <xsd:sequence minOccurs="0">
            <xsd:element form="unqualified" maxOccurs="unbounded" minOccurs="0" name="date" nillable="true">
              <xsd:complexType>
                <xsd:attribute form="unqualified" name="ID" type="xsd:string"/>
                <xsd:attribute form="unqualified" name="ItemName" type="xsd:string"/>
                <xsd:attribute form="unqualified" name="ItemIcon" type="xsd:string"/>
                <xsd:attribute form="unqualified" name="ItemQuality" type="xsd:string"/>
                <xsd:attribute form="unqualified" name="ItemLv" type="xsd:string"/>
                <xsd:attribute form="unqualified" name="ItemType" type="xsd:string"/>
                <xsd:attribute form="unqualified" name="ItemDes" type="xsd:string"/>
                <xsd:attribute form="unqualified" name="ItemBlackDes" type="xsd:string"/>
              </xsd:complexType>
            </xsd:element>
          </xsd:sequence>
        </xsd:complexType>
      </xsd:element>
    </xsd:schema>
  </Schema>
  <Map ID="2" Name="DateArea_映射1" RootElement="DateArea" SchemaID="Schema2" ShowImportExportValidationErrors="false" AutoFit="true" Append="false" PreserveSortAFLayout="true" PreserveFormat="true">
    <DataBinding ConnectionID="2" FileBinding="true" DataBindingLoadMode="1"/>
  </Map>
</MapInfo>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xmlMaps" Target="xmlMaps.xml"/><Relationship Id="rId4" Type="http://schemas.openxmlformats.org/officeDocument/2006/relationships/connections" Target="connections.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36"/>
  <sheetViews>
    <sheetView tabSelected="1" topLeftCell="G61" workbookViewId="0">
      <selection activeCell="O70" sqref="O70"/>
    </sheetView>
  </sheetViews>
  <sheetFormatPr defaultColWidth="9" defaultRowHeight="13.5"/>
  <cols>
    <col min="1" max="1" width="14" customWidth="1"/>
    <col min="2" max="3" width="15.125" customWidth="1"/>
    <col min="4" max="4" width="60.5" customWidth="1"/>
    <col min="5" max="6" width="13.125" customWidth="1"/>
    <col min="7" max="7" width="11.625" customWidth="1"/>
    <col min="8" max="8" width="18" customWidth="1"/>
    <col min="9" max="10" width="18.5" customWidth="1"/>
    <col min="11" max="11" width="15" customWidth="1"/>
    <col min="12" max="12" width="15.75" customWidth="1"/>
    <col min="13" max="13" width="15.75" customWidth="1"/>
    <col min="14" max="14" width="14.375" customWidth="1"/>
    <col min="15" max="15" width="14.375" customWidth="1"/>
    <col min="16" max="16" width="16.75" customWidth="1"/>
    <col min="17" max="17" width="16.75" customWidth="1"/>
    <col min="18" max="18" width="16.75" customWidth="1"/>
    <col min="19" max="19" width="16.75" customWidth="1"/>
    <col min="20" max="20" width="22.625" customWidth="1"/>
    <col min="21" max="24" width="23.375" customWidth="1"/>
  </cols>
  <sheetData>
    <row r="1" ht="20.1" customHeight="1" spans="1:24">
      <c r="A1" s="1" t="s">
        <v>0</v>
      </c>
      <c r="B1" s="1" t="s">
        <v>1</v>
      </c>
      <c r="C1" s="1" t="s">
        <v>2</v>
      </c>
      <c r="D1" s="1" t="s">
        <v>3</v>
      </c>
      <c r="E1" s="1" t="s">
        <v>4</v>
      </c>
      <c r="F1" s="1" t="s">
        <v>5</v>
      </c>
      <c r="G1" s="1" t="s">
        <v>6</v>
      </c>
      <c r="H1" s="1" t="s">
        <v>7</v>
      </c>
      <c r="I1" s="1" t="s">
        <v>8</v>
      </c>
      <c r="J1" s="1" t="s">
        <v>8</v>
      </c>
      <c r="K1" s="1" t="s">
        <v>9</v>
      </c>
      <c r="L1" s="1" t="s">
        <v>10</v>
      </c>
      <c r="M1" s="1" t="s">
        <v>10</v>
      </c>
      <c r="N1" s="1" t="s">
        <v>11</v>
      </c>
      <c r="O1" s="1" t="s">
        <v>11</v>
      </c>
      <c r="P1" s="1" t="s">
        <v>12</v>
      </c>
      <c r="Q1" s="1" t="s">
        <v>12</v>
      </c>
      <c r="R1" s="1" t="s">
        <v>13</v>
      </c>
      <c r="S1" s="1" t="s">
        <v>13</v>
      </c>
      <c r="T1" s="1" t="s">
        <v>14</v>
      </c>
      <c r="U1" s="1" t="s">
        <v>15</v>
      </c>
      <c r="V1" s="1" t="s">
        <v>16</v>
      </c>
      <c r="W1" s="1" t="s">
        <v>17</v>
      </c>
      <c r="X1" s="1" t="s">
        <v>18</v>
      </c>
    </row>
    <row r="2" ht="20.1" customHeight="1" spans="1:24">
      <c r="A2" s="2" t="s">
        <v>19</v>
      </c>
      <c r="B2" s="2" t="s">
        <v>19</v>
      </c>
      <c r="C2" s="2" t="s">
        <v>19</v>
      </c>
      <c r="D2" s="2" t="s">
        <v>19</v>
      </c>
      <c r="E2" s="3" t="s">
        <v>20</v>
      </c>
      <c r="F2" s="3" t="s">
        <v>20</v>
      </c>
      <c r="G2" s="3" t="s">
        <v>20</v>
      </c>
      <c r="H2" s="3" t="s">
        <v>20</v>
      </c>
      <c r="I2" s="3" t="s">
        <v>20</v>
      </c>
      <c r="J2" s="3" t="s">
        <v>20</v>
      </c>
      <c r="K2" s="3" t="s">
        <v>20</v>
      </c>
      <c r="L2" s="3" t="s">
        <v>20</v>
      </c>
      <c r="M2" s="3" t="s">
        <v>20</v>
      </c>
      <c r="N2" s="3" t="s">
        <v>20</v>
      </c>
      <c r="O2" s="3" t="s">
        <v>20</v>
      </c>
      <c r="P2" s="3" t="s">
        <v>20</v>
      </c>
      <c r="Q2" s="3" t="s">
        <v>20</v>
      </c>
      <c r="R2" s="3" t="s">
        <v>20</v>
      </c>
      <c r="S2" s="3" t="s">
        <v>20</v>
      </c>
      <c r="T2" s="3" t="s">
        <v>20</v>
      </c>
      <c r="U2" s="3" t="s">
        <v>20</v>
      </c>
      <c r="V2" s="3" t="s">
        <v>20</v>
      </c>
      <c r="W2" s="3" t="s">
        <v>20</v>
      </c>
      <c r="X2" s="3" t="s">
        <v>20</v>
      </c>
    </row>
    <row r="3" ht="20.1" customHeight="1" spans="1:24">
      <c r="A3" s="3">
        <v>8</v>
      </c>
      <c r="B3" s="3">
        <v>8</v>
      </c>
      <c r="C3" s="3">
        <v>8</v>
      </c>
      <c r="D3" s="3">
        <v>8</v>
      </c>
      <c r="E3" s="3">
        <v>8</v>
      </c>
      <c r="F3" s="3">
        <v>8</v>
      </c>
      <c r="G3" s="3">
        <v>8</v>
      </c>
      <c r="H3" s="3">
        <v>8</v>
      </c>
      <c r="I3" s="3">
        <v>8</v>
      </c>
      <c r="J3" s="3">
        <v>8</v>
      </c>
      <c r="K3" s="3">
        <v>8</v>
      </c>
      <c r="L3" s="3">
        <v>8</v>
      </c>
      <c r="M3" s="3">
        <v>8</v>
      </c>
      <c r="N3" s="3">
        <v>8</v>
      </c>
      <c r="O3" s="3">
        <v>8</v>
      </c>
      <c r="P3" s="3">
        <v>8</v>
      </c>
      <c r="Q3" s="3">
        <v>8</v>
      </c>
      <c r="R3" s="3">
        <v>8</v>
      </c>
      <c r="S3" s="3">
        <v>8</v>
      </c>
      <c r="T3" s="3">
        <v>8</v>
      </c>
      <c r="U3" s="3">
        <v>8</v>
      </c>
      <c r="V3" s="3">
        <v>8</v>
      </c>
      <c r="W3" s="3">
        <v>8</v>
      </c>
      <c r="X3" s="3">
        <v>8</v>
      </c>
    </row>
    <row r="4" ht="20.1" customHeight="1" spans="1:24">
      <c r="A4" s="3" t="s">
        <v>21</v>
      </c>
      <c r="B4" s="3" t="s">
        <v>21</v>
      </c>
      <c r="C4" s="3" t="s">
        <v>21</v>
      </c>
      <c r="D4" s="3" t="s">
        <v>21</v>
      </c>
      <c r="E4" s="3" t="s">
        <v>21</v>
      </c>
      <c r="F4" s="3" t="s">
        <v>21</v>
      </c>
      <c r="G4" s="3" t="s">
        <v>21</v>
      </c>
      <c r="H4" s="3" t="s">
        <v>21</v>
      </c>
      <c r="I4" s="3" t="s">
        <v>21</v>
      </c>
      <c r="J4" s="3" t="s">
        <v>21</v>
      </c>
      <c r="K4" s="3" t="s">
        <v>21</v>
      </c>
      <c r="L4" s="3" t="s">
        <v>21</v>
      </c>
      <c r="M4" s="3" t="s">
        <v>21</v>
      </c>
      <c r="N4" s="3" t="s">
        <v>21</v>
      </c>
      <c r="O4" s="3" t="s">
        <v>21</v>
      </c>
      <c r="P4" s="3" t="s">
        <v>21</v>
      </c>
      <c r="Q4" s="3" t="s">
        <v>21</v>
      </c>
      <c r="R4" s="3" t="s">
        <v>21</v>
      </c>
      <c r="S4" s="3" t="s">
        <v>21</v>
      </c>
      <c r="T4" s="3" t="s">
        <v>21</v>
      </c>
      <c r="U4" s="3" t="s">
        <v>21</v>
      </c>
      <c r="V4" s="3" t="s">
        <v>21</v>
      </c>
      <c r="W4" s="3" t="s">
        <v>21</v>
      </c>
      <c r="X4" s="3" t="s">
        <v>21</v>
      </c>
    </row>
    <row r="5" ht="20.1" customHeight="1" spans="1:24">
      <c r="A5" s="1" t="s">
        <v>22</v>
      </c>
      <c r="B5" s="1" t="s">
        <v>23</v>
      </c>
      <c r="C5" s="1" t="s">
        <v>24</v>
      </c>
      <c r="D5" s="1" t="s">
        <v>25</v>
      </c>
      <c r="E5" s="1" t="s">
        <v>26</v>
      </c>
      <c r="F5" s="1" t="s">
        <v>27</v>
      </c>
      <c r="G5" s="1" t="s">
        <v>28</v>
      </c>
      <c r="H5" s="1" t="s">
        <v>29</v>
      </c>
      <c r="I5" s="1" t="s">
        <v>30</v>
      </c>
      <c r="J5" s="1" t="s">
        <v>31</v>
      </c>
      <c r="K5" s="1" t="s">
        <v>32</v>
      </c>
      <c r="L5" s="1" t="s">
        <v>33</v>
      </c>
      <c r="M5" s="1" t="s">
        <v>34</v>
      </c>
      <c r="N5" s="1" t="s">
        <v>35</v>
      </c>
      <c r="O5" s="1" t="s">
        <v>36</v>
      </c>
      <c r="P5" s="1" t="s">
        <v>37</v>
      </c>
      <c r="Q5" s="1" t="s">
        <v>38</v>
      </c>
      <c r="R5" s="1" t="s">
        <v>39</v>
      </c>
      <c r="S5" s="1" t="s">
        <v>40</v>
      </c>
      <c r="T5" s="1" t="s">
        <v>41</v>
      </c>
      <c r="U5" s="1" t="s">
        <v>42</v>
      </c>
      <c r="V5" s="1" t="s">
        <v>43</v>
      </c>
      <c r="W5" s="1" t="s">
        <v>44</v>
      </c>
      <c r="X5" s="14" t="s">
        <v>45</v>
      </c>
    </row>
    <row r="6" s="13" customFormat="1" ht="20.1" customHeight="1" spans="1:36">
      <c r="A6" s="4">
        <v>10010</v>
      </c>
      <c r="B6" s="4">
        <v>10020</v>
      </c>
      <c r="C6" s="4">
        <v>1</v>
      </c>
      <c r="D6" s="4" t="s">
        <v>46</v>
      </c>
      <c r="E6" s="4">
        <v>2</v>
      </c>
      <c r="F6" s="4">
        <v>0</v>
      </c>
      <c r="G6" s="4">
        <v>0</v>
      </c>
      <c r="H6" s="4">
        <v>0</v>
      </c>
      <c r="I6" s="4">
        <v>0</v>
      </c>
      <c r="J6" s="4" t="s">
        <v>47</v>
      </c>
      <c r="K6" s="4">
        <v>0</v>
      </c>
      <c r="L6" s="4">
        <v>0</v>
      </c>
      <c r="M6" s="4" t="s">
        <v>47</v>
      </c>
      <c r="N6" s="4">
        <v>0</v>
      </c>
      <c r="O6" s="4" t="s">
        <v>47</v>
      </c>
      <c r="P6" s="4">
        <v>0</v>
      </c>
      <c r="Q6" s="4" t="s">
        <v>47</v>
      </c>
      <c r="R6" s="4">
        <v>0</v>
      </c>
      <c r="S6" s="4" t="s">
        <v>47</v>
      </c>
      <c r="T6" s="4">
        <v>0</v>
      </c>
      <c r="U6" s="4">
        <v>0</v>
      </c>
      <c r="V6" s="4">
        <v>0</v>
      </c>
      <c r="W6" s="4">
        <v>0</v>
      </c>
      <c r="X6" s="4">
        <v>0</v>
      </c>
      <c r="Z6" s="13">
        <f>LEN(I6)-LEN(SUBSTITUTE(I6,";",""))</f>
        <v>0</v>
      </c>
      <c r="AA6" s="13">
        <f>LEN(J6)-LEN(SUBSTITUTE(J6,";",""))</f>
        <v>0</v>
      </c>
      <c r="AB6" s="13">
        <f t="shared" ref="AB6" si="0">LEN(K6)-LEN(SUBSTITUTE(K6,";",""))</f>
        <v>0</v>
      </c>
      <c r="AC6" s="13">
        <f t="shared" ref="AC6" si="1">LEN(L6)-LEN(SUBSTITUTE(L6,";",""))</f>
        <v>0</v>
      </c>
      <c r="AD6" s="13">
        <f t="shared" ref="AD6" si="2">LEN(M6)-LEN(SUBSTITUTE(M6,";",""))</f>
        <v>0</v>
      </c>
      <c r="AE6" s="13">
        <f t="shared" ref="AE6" si="3">LEN(N6)-LEN(SUBSTITUTE(N6,";",""))</f>
        <v>0</v>
      </c>
      <c r="AF6" s="13">
        <f t="shared" ref="AF6" si="4">LEN(O6)-LEN(SUBSTITUTE(O6,";",""))</f>
        <v>0</v>
      </c>
      <c r="AG6" s="13">
        <f t="shared" ref="AG6" si="5">LEN(P6)-LEN(SUBSTITUTE(P6,";",""))</f>
        <v>0</v>
      </c>
      <c r="AH6" s="13">
        <f t="shared" ref="AH6" si="6">LEN(Q6)-LEN(SUBSTITUTE(Q6,";",""))</f>
        <v>0</v>
      </c>
      <c r="AI6" s="13">
        <f t="shared" ref="AI6" si="7">LEN(R6)-LEN(SUBSTITUTE(R6,";",""))</f>
        <v>0</v>
      </c>
      <c r="AJ6" s="13">
        <f t="shared" ref="AJ6" si="8">LEN(S6)-LEN(SUBSTITUTE(S6,";",""))</f>
        <v>0</v>
      </c>
    </row>
    <row r="7" s="13" customFormat="1" ht="20.1" customHeight="1" spans="1:42">
      <c r="A7" s="4">
        <v>10020</v>
      </c>
      <c r="B7" s="4">
        <v>10030</v>
      </c>
      <c r="C7" s="4">
        <v>0</v>
      </c>
      <c r="D7" s="4">
        <v>0</v>
      </c>
      <c r="E7" s="4">
        <v>0</v>
      </c>
      <c r="F7" s="4">
        <v>0</v>
      </c>
      <c r="G7" s="4">
        <v>1</v>
      </c>
      <c r="H7" s="4">
        <v>1</v>
      </c>
      <c r="I7" s="4" t="s">
        <v>48</v>
      </c>
      <c r="J7" s="4" t="s">
        <v>49</v>
      </c>
      <c r="K7" s="4">
        <v>3</v>
      </c>
      <c r="L7" s="4" t="s">
        <v>50</v>
      </c>
      <c r="M7" s="4" t="s">
        <v>51</v>
      </c>
      <c r="N7" s="4" t="s">
        <v>52</v>
      </c>
      <c r="O7" s="4" t="s">
        <v>53</v>
      </c>
      <c r="P7" s="4" t="s">
        <v>54</v>
      </c>
      <c r="Q7" s="4" t="s">
        <v>55</v>
      </c>
      <c r="R7" s="4" t="s">
        <v>54</v>
      </c>
      <c r="S7" s="4" t="s">
        <v>56</v>
      </c>
      <c r="T7" s="15" t="s">
        <v>47</v>
      </c>
      <c r="U7" s="4">
        <v>0</v>
      </c>
      <c r="V7" s="4">
        <v>0</v>
      </c>
      <c r="W7" s="4">
        <v>0</v>
      </c>
      <c r="X7" s="4">
        <v>0</v>
      </c>
      <c r="Z7" s="13">
        <f>LEN(I7)-LEN(SUBSTITUTE(I7,";",""))</f>
        <v>2</v>
      </c>
      <c r="AA7" s="13">
        <f>LEN(J7)-LEN(SUBSTITUTE(J7,";",""))</f>
        <v>2</v>
      </c>
      <c r="AB7" s="13">
        <f t="shared" ref="AB7:BH7" si="9">LEN(K7)-LEN(SUBSTITUTE(K7,";",""))</f>
        <v>0</v>
      </c>
      <c r="AC7" s="13">
        <f t="shared" si="9"/>
        <v>10</v>
      </c>
      <c r="AD7" s="13">
        <f t="shared" si="9"/>
        <v>10</v>
      </c>
      <c r="AE7" s="13">
        <f t="shared" si="9"/>
        <v>10</v>
      </c>
      <c r="AF7" s="13">
        <f t="shared" si="9"/>
        <v>10</v>
      </c>
      <c r="AG7" s="13">
        <f t="shared" si="9"/>
        <v>10</v>
      </c>
      <c r="AH7" s="13">
        <f t="shared" si="9"/>
        <v>10</v>
      </c>
      <c r="AI7" s="13">
        <f t="shared" si="9"/>
        <v>10</v>
      </c>
      <c r="AJ7" s="13">
        <f t="shared" si="9"/>
        <v>10</v>
      </c>
      <c r="AL7" s="13">
        <f>(AC7+AD7+AE7+AF7)/4</f>
        <v>10</v>
      </c>
      <c r="AP7" s="13">
        <f>(AG7+AH7+AI7+AJ7)/4</f>
        <v>10</v>
      </c>
    </row>
    <row r="8" s="11" customFormat="1" ht="20.1" customHeight="1" spans="1:42">
      <c r="A8" s="4">
        <v>10030</v>
      </c>
      <c r="B8" s="4">
        <v>10040</v>
      </c>
      <c r="C8" s="4">
        <v>0</v>
      </c>
      <c r="D8" s="4">
        <v>0</v>
      </c>
      <c r="E8" s="4">
        <v>0</v>
      </c>
      <c r="F8" s="4">
        <v>0</v>
      </c>
      <c r="G8" s="4">
        <v>0</v>
      </c>
      <c r="H8" s="4">
        <v>0</v>
      </c>
      <c r="I8" s="4">
        <v>0</v>
      </c>
      <c r="J8" s="4" t="s">
        <v>47</v>
      </c>
      <c r="K8" s="4">
        <v>0</v>
      </c>
      <c r="L8" s="4">
        <v>0</v>
      </c>
      <c r="M8" s="4" t="s">
        <v>47</v>
      </c>
      <c r="N8" s="4">
        <v>0</v>
      </c>
      <c r="O8" s="4" t="s">
        <v>47</v>
      </c>
      <c r="P8" s="4">
        <v>0</v>
      </c>
      <c r="Q8" s="4" t="s">
        <v>47</v>
      </c>
      <c r="R8" s="4">
        <v>0</v>
      </c>
      <c r="S8" s="4" t="s">
        <v>47</v>
      </c>
      <c r="T8" s="4">
        <v>0</v>
      </c>
      <c r="U8" s="4">
        <v>0</v>
      </c>
      <c r="V8" s="4">
        <v>0</v>
      </c>
      <c r="W8" s="4">
        <v>0</v>
      </c>
      <c r="X8" s="4">
        <v>0</v>
      </c>
      <c r="Z8" s="13">
        <f t="shared" ref="Z8:Z70" si="10">LEN(I8)-LEN(SUBSTITUTE(I8,";",""))</f>
        <v>0</v>
      </c>
      <c r="AA8" s="13">
        <f t="shared" ref="AA8:AA70" si="11">LEN(J8)-LEN(SUBSTITUTE(J8,";",""))</f>
        <v>0</v>
      </c>
      <c r="AB8" s="13">
        <f t="shared" ref="AB8:AB70" si="12">LEN(K8)-LEN(SUBSTITUTE(K8,";",""))</f>
        <v>0</v>
      </c>
      <c r="AC8" s="13">
        <f t="shared" ref="AC8:AC70" si="13">LEN(L8)-LEN(SUBSTITUTE(L8,";",""))</f>
        <v>0</v>
      </c>
      <c r="AD8" s="13">
        <f t="shared" ref="AD8:AD70" si="14">LEN(M8)-LEN(SUBSTITUTE(M8,";",""))</f>
        <v>0</v>
      </c>
      <c r="AE8" s="13">
        <f t="shared" ref="AE8:AE70" si="15">LEN(N8)-LEN(SUBSTITUTE(N8,";",""))</f>
        <v>0</v>
      </c>
      <c r="AF8" s="13">
        <f t="shared" ref="AF8:AF70" si="16">LEN(O8)-LEN(SUBSTITUTE(O8,";",""))</f>
        <v>0</v>
      </c>
      <c r="AG8" s="13">
        <f t="shared" ref="AG8:AG70" si="17">LEN(P8)-LEN(SUBSTITUTE(P8,";",""))</f>
        <v>0</v>
      </c>
      <c r="AH8" s="13">
        <f t="shared" ref="AH8:AH70" si="18">LEN(Q8)-LEN(SUBSTITUTE(Q8,";",""))</f>
        <v>0</v>
      </c>
      <c r="AI8" s="13">
        <f t="shared" ref="AI8:AI70" si="19">LEN(R8)-LEN(SUBSTITUTE(R8,";",""))</f>
        <v>0</v>
      </c>
      <c r="AJ8" s="13">
        <f t="shared" ref="AJ8:AJ70" si="20">LEN(S8)-LEN(SUBSTITUTE(S8,";",""))</f>
        <v>0</v>
      </c>
      <c r="AL8" s="13">
        <f t="shared" ref="AL8:AL70" si="21">(AC8+AD8+AE8+AF8)/4</f>
        <v>0</v>
      </c>
      <c r="AP8" s="13">
        <f t="shared" ref="AP8:AP70" si="22">(AG8+AH8+AI8+AJ8)/4</f>
        <v>0</v>
      </c>
    </row>
    <row r="9" s="11" customFormat="1" ht="20.1" customHeight="1" spans="1:42">
      <c r="A9" s="4">
        <v>10040</v>
      </c>
      <c r="B9" s="4">
        <v>10050</v>
      </c>
      <c r="C9" s="4">
        <v>0</v>
      </c>
      <c r="D9" s="4">
        <v>0</v>
      </c>
      <c r="E9" s="4">
        <v>0</v>
      </c>
      <c r="F9" s="4">
        <v>0</v>
      </c>
      <c r="G9" s="4">
        <v>1</v>
      </c>
      <c r="H9" s="4">
        <v>1</v>
      </c>
      <c r="I9" s="4" t="s">
        <v>57</v>
      </c>
      <c r="J9" s="4" t="s">
        <v>58</v>
      </c>
      <c r="K9" s="4">
        <v>3</v>
      </c>
      <c r="L9" s="4" t="s">
        <v>59</v>
      </c>
      <c r="M9" s="4" t="s">
        <v>60</v>
      </c>
      <c r="N9" s="4" t="s">
        <v>61</v>
      </c>
      <c r="O9" s="4" t="s">
        <v>62</v>
      </c>
      <c r="P9" s="4" t="s">
        <v>63</v>
      </c>
      <c r="Q9" s="4" t="s">
        <v>64</v>
      </c>
      <c r="R9" s="4" t="s">
        <v>63</v>
      </c>
      <c r="S9" s="4" t="s">
        <v>65</v>
      </c>
      <c r="T9" s="4" t="s">
        <v>66</v>
      </c>
      <c r="U9" s="4" t="s">
        <v>67</v>
      </c>
      <c r="V9" s="4">
        <v>0</v>
      </c>
      <c r="W9" s="4">
        <v>0</v>
      </c>
      <c r="X9" s="4">
        <v>0</v>
      </c>
      <c r="Z9" s="13">
        <f t="shared" si="10"/>
        <v>2</v>
      </c>
      <c r="AA9" s="13">
        <f t="shared" si="11"/>
        <v>2</v>
      </c>
      <c r="AB9" s="13">
        <f t="shared" si="12"/>
        <v>0</v>
      </c>
      <c r="AC9" s="13">
        <f t="shared" si="13"/>
        <v>3</v>
      </c>
      <c r="AD9" s="13">
        <f t="shared" si="14"/>
        <v>3</v>
      </c>
      <c r="AE9" s="13">
        <f t="shared" si="15"/>
        <v>3</v>
      </c>
      <c r="AF9" s="13">
        <f t="shared" si="16"/>
        <v>3</v>
      </c>
      <c r="AG9" s="13">
        <f t="shared" si="17"/>
        <v>3</v>
      </c>
      <c r="AH9" s="13">
        <f t="shared" si="18"/>
        <v>3</v>
      </c>
      <c r="AI9" s="13">
        <f t="shared" si="19"/>
        <v>3</v>
      </c>
      <c r="AJ9" s="13">
        <f t="shared" si="20"/>
        <v>3</v>
      </c>
      <c r="AL9" s="13">
        <f t="shared" si="21"/>
        <v>3</v>
      </c>
      <c r="AP9" s="13">
        <f t="shared" si="22"/>
        <v>3</v>
      </c>
    </row>
    <row r="10" s="11" customFormat="1" ht="20.1" customHeight="1" spans="1:42">
      <c r="A10" s="4">
        <v>10050</v>
      </c>
      <c r="B10" s="4">
        <v>10060</v>
      </c>
      <c r="C10" s="4">
        <v>0</v>
      </c>
      <c r="D10" s="4">
        <v>0</v>
      </c>
      <c r="E10" s="4">
        <v>0</v>
      </c>
      <c r="F10" s="4">
        <v>0</v>
      </c>
      <c r="G10" s="4">
        <v>0</v>
      </c>
      <c r="H10" s="4">
        <v>0</v>
      </c>
      <c r="I10" s="4">
        <v>0</v>
      </c>
      <c r="J10" s="4" t="s">
        <v>47</v>
      </c>
      <c r="K10" s="4">
        <v>0</v>
      </c>
      <c r="L10" s="4">
        <v>0</v>
      </c>
      <c r="M10" s="4" t="s">
        <v>47</v>
      </c>
      <c r="N10" s="4">
        <v>0</v>
      </c>
      <c r="O10" s="4" t="s">
        <v>47</v>
      </c>
      <c r="P10" s="4">
        <v>0</v>
      </c>
      <c r="Q10" s="4" t="s">
        <v>47</v>
      </c>
      <c r="R10" s="4">
        <v>0</v>
      </c>
      <c r="S10" s="4" t="s">
        <v>47</v>
      </c>
      <c r="T10" s="4">
        <v>0</v>
      </c>
      <c r="U10" s="4">
        <v>0</v>
      </c>
      <c r="V10" s="4">
        <v>0</v>
      </c>
      <c r="W10" s="4">
        <v>0</v>
      </c>
      <c r="X10" s="4">
        <v>0</v>
      </c>
      <c r="Z10" s="13">
        <f t="shared" si="10"/>
        <v>0</v>
      </c>
      <c r="AA10" s="13">
        <f t="shared" si="11"/>
        <v>0</v>
      </c>
      <c r="AB10" s="13">
        <f t="shared" si="12"/>
        <v>0</v>
      </c>
      <c r="AC10" s="13">
        <f t="shared" si="13"/>
        <v>0</v>
      </c>
      <c r="AD10" s="13">
        <f t="shared" si="14"/>
        <v>0</v>
      </c>
      <c r="AE10" s="13">
        <f t="shared" si="15"/>
        <v>0</v>
      </c>
      <c r="AF10" s="13">
        <f t="shared" si="16"/>
        <v>0</v>
      </c>
      <c r="AG10" s="13">
        <f t="shared" si="17"/>
        <v>0</v>
      </c>
      <c r="AH10" s="13">
        <f t="shared" si="18"/>
        <v>0</v>
      </c>
      <c r="AI10" s="13">
        <f t="shared" si="19"/>
        <v>0</v>
      </c>
      <c r="AJ10" s="13">
        <f t="shared" si="20"/>
        <v>0</v>
      </c>
      <c r="AL10" s="13">
        <f t="shared" si="21"/>
        <v>0</v>
      </c>
      <c r="AP10" s="13">
        <f t="shared" si="22"/>
        <v>0</v>
      </c>
    </row>
    <row r="11" s="11" customFormat="1" ht="20.1" customHeight="1" spans="1:42">
      <c r="A11" s="4">
        <v>10060</v>
      </c>
      <c r="B11" s="4">
        <v>10070</v>
      </c>
      <c r="C11" s="4">
        <v>0</v>
      </c>
      <c r="D11" s="4">
        <v>0</v>
      </c>
      <c r="E11" s="4">
        <v>0</v>
      </c>
      <c r="F11" s="4">
        <v>0</v>
      </c>
      <c r="G11" s="4">
        <v>1</v>
      </c>
      <c r="H11" s="4">
        <v>1</v>
      </c>
      <c r="I11" s="4" t="s">
        <v>68</v>
      </c>
      <c r="J11" s="4" t="s">
        <v>69</v>
      </c>
      <c r="K11" s="4">
        <v>2</v>
      </c>
      <c r="L11" s="4" t="s">
        <v>70</v>
      </c>
      <c r="M11" s="4" t="s">
        <v>71</v>
      </c>
      <c r="N11" s="4" t="s">
        <v>72</v>
      </c>
      <c r="O11" s="4" t="s">
        <v>73</v>
      </c>
      <c r="P11" s="4" t="s">
        <v>74</v>
      </c>
      <c r="Q11" s="4" t="s">
        <v>75</v>
      </c>
      <c r="R11" s="4" t="s">
        <v>76</v>
      </c>
      <c r="S11" s="4" t="s">
        <v>77</v>
      </c>
      <c r="T11" s="4" t="s">
        <v>78</v>
      </c>
      <c r="U11" s="4">
        <v>0</v>
      </c>
      <c r="V11" s="4">
        <v>0</v>
      </c>
      <c r="W11" s="4">
        <v>0</v>
      </c>
      <c r="X11" s="4">
        <v>0</v>
      </c>
      <c r="Z11" s="13">
        <f t="shared" si="10"/>
        <v>2</v>
      </c>
      <c r="AA11" s="13">
        <f t="shared" si="11"/>
        <v>2</v>
      </c>
      <c r="AB11" s="13">
        <f t="shared" si="12"/>
        <v>0</v>
      </c>
      <c r="AC11" s="13">
        <f t="shared" si="13"/>
        <v>2</v>
      </c>
      <c r="AD11" s="13">
        <f t="shared" si="14"/>
        <v>2</v>
      </c>
      <c r="AE11" s="13">
        <f t="shared" si="15"/>
        <v>2</v>
      </c>
      <c r="AF11" s="13">
        <f t="shared" si="16"/>
        <v>2</v>
      </c>
      <c r="AG11" s="13">
        <f t="shared" si="17"/>
        <v>2</v>
      </c>
      <c r="AH11" s="13">
        <f t="shared" si="18"/>
        <v>2</v>
      </c>
      <c r="AI11" s="13">
        <f t="shared" si="19"/>
        <v>2</v>
      </c>
      <c r="AJ11" s="13">
        <f t="shared" si="20"/>
        <v>2</v>
      </c>
      <c r="AL11" s="13">
        <f t="shared" si="21"/>
        <v>2</v>
      </c>
      <c r="AP11" s="13">
        <f t="shared" si="22"/>
        <v>2</v>
      </c>
    </row>
    <row r="12" s="11" customFormat="1" ht="20.1" customHeight="1" spans="1:42">
      <c r="A12" s="4">
        <v>10070</v>
      </c>
      <c r="B12" s="4">
        <v>10080</v>
      </c>
      <c r="C12" s="4">
        <v>0</v>
      </c>
      <c r="D12" s="4">
        <v>0</v>
      </c>
      <c r="E12" s="4">
        <v>0</v>
      </c>
      <c r="F12" s="4">
        <v>0</v>
      </c>
      <c r="G12" s="4">
        <v>0</v>
      </c>
      <c r="H12" s="4">
        <v>0</v>
      </c>
      <c r="I12" s="4">
        <v>0</v>
      </c>
      <c r="J12" s="4" t="s">
        <v>47</v>
      </c>
      <c r="K12" s="4">
        <v>0</v>
      </c>
      <c r="L12" s="4">
        <v>0</v>
      </c>
      <c r="M12" s="4" t="s">
        <v>47</v>
      </c>
      <c r="N12" s="4">
        <v>0</v>
      </c>
      <c r="O12" s="4" t="s">
        <v>47</v>
      </c>
      <c r="P12" s="4">
        <v>0</v>
      </c>
      <c r="Q12" s="4" t="s">
        <v>47</v>
      </c>
      <c r="R12" s="4">
        <v>0</v>
      </c>
      <c r="S12" s="4" t="s">
        <v>47</v>
      </c>
      <c r="T12" s="4">
        <v>0</v>
      </c>
      <c r="U12" s="4">
        <v>0</v>
      </c>
      <c r="V12" s="4">
        <v>0</v>
      </c>
      <c r="W12" s="4">
        <v>0</v>
      </c>
      <c r="X12" s="4">
        <v>0</v>
      </c>
      <c r="Z12" s="13">
        <f t="shared" si="10"/>
        <v>0</v>
      </c>
      <c r="AA12" s="13">
        <f t="shared" si="11"/>
        <v>0</v>
      </c>
      <c r="AB12" s="13">
        <f t="shared" si="12"/>
        <v>0</v>
      </c>
      <c r="AC12" s="13">
        <f t="shared" si="13"/>
        <v>0</v>
      </c>
      <c r="AD12" s="13">
        <f t="shared" si="14"/>
        <v>0</v>
      </c>
      <c r="AE12" s="13">
        <f t="shared" si="15"/>
        <v>0</v>
      </c>
      <c r="AF12" s="13">
        <f t="shared" si="16"/>
        <v>0</v>
      </c>
      <c r="AG12" s="13">
        <f t="shared" si="17"/>
        <v>0</v>
      </c>
      <c r="AH12" s="13">
        <f t="shared" si="18"/>
        <v>0</v>
      </c>
      <c r="AI12" s="13">
        <f t="shared" si="19"/>
        <v>0</v>
      </c>
      <c r="AJ12" s="13">
        <f t="shared" si="20"/>
        <v>0</v>
      </c>
      <c r="AL12" s="13">
        <f t="shared" si="21"/>
        <v>0</v>
      </c>
      <c r="AP12" s="13">
        <f t="shared" si="22"/>
        <v>0</v>
      </c>
    </row>
    <row r="13" s="11" customFormat="1" ht="20.1" customHeight="1" spans="1:42">
      <c r="A13" s="4">
        <v>10080</v>
      </c>
      <c r="B13" s="4">
        <v>10090</v>
      </c>
      <c r="C13" s="4">
        <v>0</v>
      </c>
      <c r="D13" s="4">
        <v>0</v>
      </c>
      <c r="E13" s="4">
        <v>0</v>
      </c>
      <c r="F13" s="4">
        <v>0</v>
      </c>
      <c r="G13" s="4">
        <v>1</v>
      </c>
      <c r="H13" s="4">
        <v>0</v>
      </c>
      <c r="I13" s="4">
        <v>0</v>
      </c>
      <c r="J13" s="4" t="s">
        <v>47</v>
      </c>
      <c r="K13" s="4">
        <v>0</v>
      </c>
      <c r="L13" s="4" t="s">
        <v>79</v>
      </c>
      <c r="M13" s="4" t="s">
        <v>80</v>
      </c>
      <c r="N13" s="4" t="s">
        <v>79</v>
      </c>
      <c r="O13" s="4" t="s">
        <v>80</v>
      </c>
      <c r="P13" s="4" t="s">
        <v>81</v>
      </c>
      <c r="Q13" s="4" t="s">
        <v>82</v>
      </c>
      <c r="R13" s="4" t="s">
        <v>81</v>
      </c>
      <c r="S13" s="4" t="s">
        <v>82</v>
      </c>
      <c r="T13" s="4">
        <v>0</v>
      </c>
      <c r="U13" s="4">
        <v>0</v>
      </c>
      <c r="V13" s="4">
        <v>0</v>
      </c>
      <c r="W13" s="4">
        <v>0</v>
      </c>
      <c r="X13" s="4">
        <v>0</v>
      </c>
      <c r="Z13" s="13">
        <f t="shared" si="10"/>
        <v>0</v>
      </c>
      <c r="AA13" s="13">
        <f t="shared" si="11"/>
        <v>0</v>
      </c>
      <c r="AB13" s="13">
        <f t="shared" si="12"/>
        <v>0</v>
      </c>
      <c r="AC13" s="13">
        <f t="shared" si="13"/>
        <v>1</v>
      </c>
      <c r="AD13" s="13">
        <f t="shared" si="14"/>
        <v>1</v>
      </c>
      <c r="AE13" s="13">
        <f t="shared" si="15"/>
        <v>1</v>
      </c>
      <c r="AF13" s="13">
        <f t="shared" si="16"/>
        <v>1</v>
      </c>
      <c r="AG13" s="13">
        <f t="shared" si="17"/>
        <v>1</v>
      </c>
      <c r="AH13" s="13">
        <f t="shared" si="18"/>
        <v>1</v>
      </c>
      <c r="AI13" s="13">
        <f t="shared" si="19"/>
        <v>1</v>
      </c>
      <c r="AJ13" s="13">
        <f t="shared" si="20"/>
        <v>1</v>
      </c>
      <c r="AL13" s="13">
        <f t="shared" si="21"/>
        <v>1</v>
      </c>
      <c r="AP13" s="13">
        <f t="shared" si="22"/>
        <v>1</v>
      </c>
    </row>
    <row r="14" s="11" customFormat="1" ht="20.1" customHeight="1" spans="1:42">
      <c r="A14" s="4">
        <v>10090</v>
      </c>
      <c r="B14" s="4">
        <v>10100</v>
      </c>
      <c r="C14" s="4">
        <v>0</v>
      </c>
      <c r="D14" s="4">
        <v>0</v>
      </c>
      <c r="E14" s="4">
        <v>0</v>
      </c>
      <c r="F14" s="4">
        <v>0</v>
      </c>
      <c r="G14" s="4">
        <v>0</v>
      </c>
      <c r="H14" s="4">
        <v>0</v>
      </c>
      <c r="I14" s="4">
        <v>0</v>
      </c>
      <c r="J14" s="4" t="s">
        <v>47</v>
      </c>
      <c r="K14" s="4">
        <v>0</v>
      </c>
      <c r="L14" s="4">
        <v>0</v>
      </c>
      <c r="M14" s="4" t="s">
        <v>47</v>
      </c>
      <c r="N14" s="4">
        <v>0</v>
      </c>
      <c r="O14" s="4" t="s">
        <v>47</v>
      </c>
      <c r="P14" s="4">
        <v>0</v>
      </c>
      <c r="Q14" s="4" t="s">
        <v>47</v>
      </c>
      <c r="R14" s="4">
        <v>0</v>
      </c>
      <c r="S14" s="4" t="s">
        <v>47</v>
      </c>
      <c r="T14" s="4">
        <v>0</v>
      </c>
      <c r="U14" s="4">
        <v>0</v>
      </c>
      <c r="V14" s="4">
        <v>0</v>
      </c>
      <c r="W14" s="4">
        <v>0</v>
      </c>
      <c r="X14" s="4">
        <v>0</v>
      </c>
      <c r="Z14" s="13">
        <f t="shared" si="10"/>
        <v>0</v>
      </c>
      <c r="AA14" s="13">
        <f t="shared" si="11"/>
        <v>0</v>
      </c>
      <c r="AB14" s="13">
        <f t="shared" si="12"/>
        <v>0</v>
      </c>
      <c r="AC14" s="13">
        <f t="shared" si="13"/>
        <v>0</v>
      </c>
      <c r="AD14" s="13">
        <f t="shared" si="14"/>
        <v>0</v>
      </c>
      <c r="AE14" s="13">
        <f t="shared" si="15"/>
        <v>0</v>
      </c>
      <c r="AF14" s="13">
        <f t="shared" si="16"/>
        <v>0</v>
      </c>
      <c r="AG14" s="13">
        <f t="shared" si="17"/>
        <v>0</v>
      </c>
      <c r="AH14" s="13">
        <f t="shared" si="18"/>
        <v>0</v>
      </c>
      <c r="AI14" s="13">
        <f t="shared" si="19"/>
        <v>0</v>
      </c>
      <c r="AJ14" s="13">
        <f t="shared" si="20"/>
        <v>0</v>
      </c>
      <c r="AL14" s="13">
        <f t="shared" si="21"/>
        <v>0</v>
      </c>
      <c r="AP14" s="13">
        <f t="shared" si="22"/>
        <v>0</v>
      </c>
    </row>
    <row r="15" s="11" customFormat="1" ht="20.1" customHeight="1" spans="1:42">
      <c r="A15" s="4">
        <v>10100</v>
      </c>
      <c r="B15" s="4">
        <v>10110</v>
      </c>
      <c r="C15" s="4">
        <v>0</v>
      </c>
      <c r="D15" s="4">
        <v>0</v>
      </c>
      <c r="E15" s="4">
        <v>0</v>
      </c>
      <c r="F15" s="4">
        <v>0</v>
      </c>
      <c r="G15" s="4">
        <v>1</v>
      </c>
      <c r="H15" s="4">
        <v>0</v>
      </c>
      <c r="I15" s="4">
        <v>0</v>
      </c>
      <c r="J15" s="4" t="s">
        <v>47</v>
      </c>
      <c r="K15" s="4">
        <v>0</v>
      </c>
      <c r="L15" s="4" t="s">
        <v>83</v>
      </c>
      <c r="M15" s="4" t="s">
        <v>84</v>
      </c>
      <c r="N15" s="4" t="s">
        <v>85</v>
      </c>
      <c r="O15" s="4" t="s">
        <v>86</v>
      </c>
      <c r="P15" s="4" t="s">
        <v>87</v>
      </c>
      <c r="Q15" s="4" t="s">
        <v>88</v>
      </c>
      <c r="R15" s="4" t="s">
        <v>87</v>
      </c>
      <c r="S15" s="4" t="s">
        <v>88</v>
      </c>
      <c r="T15" s="4">
        <v>0</v>
      </c>
      <c r="U15" s="4">
        <v>0</v>
      </c>
      <c r="V15" s="4">
        <v>0</v>
      </c>
      <c r="W15" s="4">
        <v>0</v>
      </c>
      <c r="X15" s="4">
        <v>0</v>
      </c>
      <c r="Z15" s="13">
        <f t="shared" si="10"/>
        <v>0</v>
      </c>
      <c r="AA15" s="13">
        <f t="shared" si="11"/>
        <v>0</v>
      </c>
      <c r="AB15" s="13">
        <f t="shared" si="12"/>
        <v>0</v>
      </c>
      <c r="AC15" s="13">
        <f t="shared" si="13"/>
        <v>4</v>
      </c>
      <c r="AD15" s="13">
        <f t="shared" si="14"/>
        <v>4</v>
      </c>
      <c r="AE15" s="13">
        <f t="shared" si="15"/>
        <v>4</v>
      </c>
      <c r="AF15" s="13">
        <f t="shared" si="16"/>
        <v>4</v>
      </c>
      <c r="AG15" s="13">
        <f t="shared" si="17"/>
        <v>4</v>
      </c>
      <c r="AH15" s="13">
        <f t="shared" si="18"/>
        <v>4</v>
      </c>
      <c r="AI15" s="13">
        <f t="shared" si="19"/>
        <v>4</v>
      </c>
      <c r="AJ15" s="13">
        <f t="shared" si="20"/>
        <v>4</v>
      </c>
      <c r="AL15" s="13">
        <f t="shared" si="21"/>
        <v>4</v>
      </c>
      <c r="AP15" s="13">
        <f t="shared" si="22"/>
        <v>4</v>
      </c>
    </row>
    <row r="16" s="11" customFormat="1" ht="20.1" customHeight="1" spans="1:42">
      <c r="A16" s="4">
        <v>10110</v>
      </c>
      <c r="B16" s="4">
        <v>10120</v>
      </c>
      <c r="C16" s="4">
        <v>0</v>
      </c>
      <c r="D16" s="4">
        <v>0</v>
      </c>
      <c r="E16" s="4">
        <v>0</v>
      </c>
      <c r="F16" s="4">
        <v>0</v>
      </c>
      <c r="G16" s="4">
        <v>0</v>
      </c>
      <c r="H16" s="4">
        <v>0</v>
      </c>
      <c r="I16" s="4">
        <v>0</v>
      </c>
      <c r="J16" s="4" t="s">
        <v>47</v>
      </c>
      <c r="K16" s="4">
        <v>0</v>
      </c>
      <c r="L16" s="4">
        <v>0</v>
      </c>
      <c r="M16" s="4" t="s">
        <v>47</v>
      </c>
      <c r="N16" s="4">
        <v>0</v>
      </c>
      <c r="O16" s="4" t="s">
        <v>47</v>
      </c>
      <c r="P16" s="4">
        <v>0</v>
      </c>
      <c r="Q16" s="4" t="s">
        <v>47</v>
      </c>
      <c r="R16" s="4">
        <v>0</v>
      </c>
      <c r="S16" s="4" t="s">
        <v>47</v>
      </c>
      <c r="T16" s="4">
        <v>0</v>
      </c>
      <c r="U16" s="4">
        <v>0</v>
      </c>
      <c r="V16" s="4">
        <v>0</v>
      </c>
      <c r="W16" s="4">
        <v>0</v>
      </c>
      <c r="X16" s="4">
        <v>0</v>
      </c>
      <c r="Z16" s="13">
        <f t="shared" si="10"/>
        <v>0</v>
      </c>
      <c r="AA16" s="13">
        <f t="shared" si="11"/>
        <v>0</v>
      </c>
      <c r="AB16" s="13">
        <f t="shared" si="12"/>
        <v>0</v>
      </c>
      <c r="AC16" s="13">
        <f t="shared" si="13"/>
        <v>0</v>
      </c>
      <c r="AD16" s="13">
        <f t="shared" si="14"/>
        <v>0</v>
      </c>
      <c r="AE16" s="13">
        <f t="shared" si="15"/>
        <v>0</v>
      </c>
      <c r="AF16" s="13">
        <f t="shared" si="16"/>
        <v>0</v>
      </c>
      <c r="AG16" s="13">
        <f t="shared" si="17"/>
        <v>0</v>
      </c>
      <c r="AH16" s="13">
        <f t="shared" si="18"/>
        <v>0</v>
      </c>
      <c r="AI16" s="13">
        <f t="shared" si="19"/>
        <v>0</v>
      </c>
      <c r="AJ16" s="13">
        <f t="shared" si="20"/>
        <v>0</v>
      </c>
      <c r="AL16" s="13">
        <f t="shared" si="21"/>
        <v>0</v>
      </c>
      <c r="AP16" s="13">
        <f t="shared" si="22"/>
        <v>0</v>
      </c>
    </row>
    <row r="17" s="11" customFormat="1" ht="20.1" customHeight="1" spans="1:42">
      <c r="A17" s="4">
        <v>10120</v>
      </c>
      <c r="B17" s="4">
        <v>10130</v>
      </c>
      <c r="C17" s="4">
        <v>0</v>
      </c>
      <c r="D17" s="4">
        <v>0</v>
      </c>
      <c r="E17" s="4">
        <v>0</v>
      </c>
      <c r="F17" s="4">
        <v>0</v>
      </c>
      <c r="G17" s="4">
        <v>1</v>
      </c>
      <c r="H17" s="4">
        <v>1</v>
      </c>
      <c r="I17" s="4" t="s">
        <v>89</v>
      </c>
      <c r="J17" s="4" t="s">
        <v>90</v>
      </c>
      <c r="K17" s="4">
        <v>2</v>
      </c>
      <c r="L17" s="4" t="s">
        <v>91</v>
      </c>
      <c r="M17" s="4" t="s">
        <v>92</v>
      </c>
      <c r="N17" s="4" t="s">
        <v>93</v>
      </c>
      <c r="O17" s="4" t="s">
        <v>94</v>
      </c>
      <c r="P17" s="4" t="s">
        <v>95</v>
      </c>
      <c r="Q17" s="4" t="s">
        <v>96</v>
      </c>
      <c r="R17" s="4" t="s">
        <v>95</v>
      </c>
      <c r="S17" s="4" t="s">
        <v>97</v>
      </c>
      <c r="T17" s="4" t="s">
        <v>98</v>
      </c>
      <c r="U17" s="4">
        <v>0</v>
      </c>
      <c r="V17" s="4">
        <v>0</v>
      </c>
      <c r="W17" s="4">
        <v>0</v>
      </c>
      <c r="X17" s="4">
        <v>0</v>
      </c>
      <c r="Z17" s="13">
        <f t="shared" si="10"/>
        <v>2</v>
      </c>
      <c r="AA17" s="13">
        <f t="shared" si="11"/>
        <v>2</v>
      </c>
      <c r="AB17" s="13">
        <f t="shared" si="12"/>
        <v>0</v>
      </c>
      <c r="AC17" s="13">
        <f t="shared" si="13"/>
        <v>2</v>
      </c>
      <c r="AD17" s="13">
        <f t="shared" si="14"/>
        <v>2</v>
      </c>
      <c r="AE17" s="13">
        <f t="shared" si="15"/>
        <v>2</v>
      </c>
      <c r="AF17" s="13">
        <f t="shared" si="16"/>
        <v>2</v>
      </c>
      <c r="AG17" s="13">
        <f t="shared" si="17"/>
        <v>2</v>
      </c>
      <c r="AH17" s="13">
        <f t="shared" si="18"/>
        <v>2</v>
      </c>
      <c r="AI17" s="13">
        <f t="shared" si="19"/>
        <v>2</v>
      </c>
      <c r="AJ17" s="13">
        <f t="shared" si="20"/>
        <v>2</v>
      </c>
      <c r="AL17" s="13">
        <f t="shared" si="21"/>
        <v>2</v>
      </c>
      <c r="AP17" s="13">
        <f t="shared" si="22"/>
        <v>2</v>
      </c>
    </row>
    <row r="18" s="11" customFormat="1" ht="20.1" customHeight="1" spans="1:42">
      <c r="A18" s="4">
        <v>10130</v>
      </c>
      <c r="B18" s="4">
        <v>10140</v>
      </c>
      <c r="C18" s="4">
        <v>0</v>
      </c>
      <c r="D18" s="4">
        <v>0</v>
      </c>
      <c r="E18" s="4">
        <v>0</v>
      </c>
      <c r="F18" s="4">
        <v>0</v>
      </c>
      <c r="G18" s="4">
        <v>0</v>
      </c>
      <c r="H18" s="4">
        <v>0</v>
      </c>
      <c r="I18" s="4">
        <v>0</v>
      </c>
      <c r="J18" s="4" t="s">
        <v>47</v>
      </c>
      <c r="K18" s="4">
        <v>0</v>
      </c>
      <c r="L18" s="4">
        <v>0</v>
      </c>
      <c r="M18" s="4" t="s">
        <v>47</v>
      </c>
      <c r="N18" s="4">
        <v>0</v>
      </c>
      <c r="O18" s="4" t="s">
        <v>47</v>
      </c>
      <c r="P18" s="4">
        <v>0</v>
      </c>
      <c r="Q18" s="4" t="s">
        <v>47</v>
      </c>
      <c r="R18" s="4">
        <v>0</v>
      </c>
      <c r="S18" s="4" t="s">
        <v>47</v>
      </c>
      <c r="T18" s="4">
        <v>0</v>
      </c>
      <c r="U18" s="4">
        <v>0</v>
      </c>
      <c r="V18" s="4">
        <v>0</v>
      </c>
      <c r="W18" s="4">
        <v>0</v>
      </c>
      <c r="X18" s="4">
        <v>0</v>
      </c>
      <c r="Z18" s="13">
        <f t="shared" si="10"/>
        <v>0</v>
      </c>
      <c r="AA18" s="13">
        <f t="shared" si="11"/>
        <v>0</v>
      </c>
      <c r="AB18" s="13">
        <f t="shared" si="12"/>
        <v>0</v>
      </c>
      <c r="AC18" s="13">
        <f t="shared" si="13"/>
        <v>0</v>
      </c>
      <c r="AD18" s="13">
        <f t="shared" si="14"/>
        <v>0</v>
      </c>
      <c r="AE18" s="13">
        <f t="shared" si="15"/>
        <v>0</v>
      </c>
      <c r="AF18" s="13">
        <f t="shared" si="16"/>
        <v>0</v>
      </c>
      <c r="AG18" s="13">
        <f t="shared" si="17"/>
        <v>0</v>
      </c>
      <c r="AH18" s="13">
        <f t="shared" si="18"/>
        <v>0</v>
      </c>
      <c r="AI18" s="13">
        <f t="shared" si="19"/>
        <v>0</v>
      </c>
      <c r="AJ18" s="13">
        <f t="shared" si="20"/>
        <v>0</v>
      </c>
      <c r="AL18" s="13">
        <f t="shared" si="21"/>
        <v>0</v>
      </c>
      <c r="AP18" s="13">
        <f t="shared" si="22"/>
        <v>0</v>
      </c>
    </row>
    <row r="19" s="11" customFormat="1" ht="20.1" customHeight="1" spans="1:42">
      <c r="A19" s="4">
        <v>10140</v>
      </c>
      <c r="B19" s="4">
        <v>10150</v>
      </c>
      <c r="C19" s="4">
        <v>0</v>
      </c>
      <c r="D19" s="4">
        <v>0</v>
      </c>
      <c r="E19" s="4">
        <v>0</v>
      </c>
      <c r="F19" s="4">
        <v>0</v>
      </c>
      <c r="G19" s="4">
        <v>1</v>
      </c>
      <c r="H19" s="4">
        <v>1</v>
      </c>
      <c r="I19" s="4" t="s">
        <v>99</v>
      </c>
      <c r="J19" s="4" t="s">
        <v>100</v>
      </c>
      <c r="K19" s="4">
        <v>3</v>
      </c>
      <c r="L19" s="4" t="s">
        <v>101</v>
      </c>
      <c r="M19" s="4" t="s">
        <v>102</v>
      </c>
      <c r="N19" s="4" t="s">
        <v>103</v>
      </c>
      <c r="O19" s="4" t="s">
        <v>104</v>
      </c>
      <c r="P19" s="4" t="s">
        <v>105</v>
      </c>
      <c r="Q19" s="4" t="s">
        <v>106</v>
      </c>
      <c r="R19" s="4" t="s">
        <v>105</v>
      </c>
      <c r="S19" s="4" t="s">
        <v>106</v>
      </c>
      <c r="T19" s="15" t="s">
        <v>107</v>
      </c>
      <c r="U19" s="4" t="s">
        <v>108</v>
      </c>
      <c r="V19" s="4">
        <v>0</v>
      </c>
      <c r="W19" s="4">
        <v>0</v>
      </c>
      <c r="X19" s="4">
        <v>0</v>
      </c>
      <c r="Z19" s="13">
        <f t="shared" si="10"/>
        <v>2</v>
      </c>
      <c r="AA19" s="13">
        <f t="shared" si="11"/>
        <v>2</v>
      </c>
      <c r="AB19" s="13">
        <f t="shared" si="12"/>
        <v>0</v>
      </c>
      <c r="AC19" s="13">
        <f t="shared" si="13"/>
        <v>4</v>
      </c>
      <c r="AD19" s="13">
        <f t="shared" si="14"/>
        <v>4</v>
      </c>
      <c r="AE19" s="13">
        <f t="shared" si="15"/>
        <v>4</v>
      </c>
      <c r="AF19" s="13">
        <f t="shared" si="16"/>
        <v>4</v>
      </c>
      <c r="AG19" s="13">
        <f t="shared" si="17"/>
        <v>4</v>
      </c>
      <c r="AH19" s="13">
        <f t="shared" si="18"/>
        <v>4</v>
      </c>
      <c r="AI19" s="13">
        <f t="shared" si="19"/>
        <v>4</v>
      </c>
      <c r="AJ19" s="13">
        <f t="shared" si="20"/>
        <v>4</v>
      </c>
      <c r="AL19" s="13">
        <f t="shared" si="21"/>
        <v>4</v>
      </c>
      <c r="AP19" s="13">
        <f t="shared" si="22"/>
        <v>4</v>
      </c>
    </row>
    <row r="20" s="11" customFormat="1" ht="20.1" customHeight="1" spans="1:42">
      <c r="A20" s="4">
        <v>10150</v>
      </c>
      <c r="B20" s="4">
        <v>10160</v>
      </c>
      <c r="C20" s="4">
        <v>0</v>
      </c>
      <c r="D20" s="4">
        <v>0</v>
      </c>
      <c r="E20" s="4">
        <v>0</v>
      </c>
      <c r="F20" s="4">
        <v>0</v>
      </c>
      <c r="G20" s="4">
        <v>0</v>
      </c>
      <c r="H20" s="4">
        <v>0</v>
      </c>
      <c r="I20" s="4">
        <v>0</v>
      </c>
      <c r="J20" s="4" t="s">
        <v>47</v>
      </c>
      <c r="K20" s="4">
        <v>0</v>
      </c>
      <c r="L20" s="4">
        <v>0</v>
      </c>
      <c r="M20" s="4" t="s">
        <v>47</v>
      </c>
      <c r="N20" s="4">
        <v>0</v>
      </c>
      <c r="O20" s="4" t="s">
        <v>47</v>
      </c>
      <c r="P20" s="4">
        <v>0</v>
      </c>
      <c r="Q20" s="4" t="s">
        <v>47</v>
      </c>
      <c r="R20" s="4">
        <v>0</v>
      </c>
      <c r="S20" s="4" t="s">
        <v>47</v>
      </c>
      <c r="T20" s="4">
        <v>0</v>
      </c>
      <c r="U20" s="4">
        <v>0</v>
      </c>
      <c r="V20" s="4">
        <v>0</v>
      </c>
      <c r="W20" s="4">
        <v>0</v>
      </c>
      <c r="X20" s="4">
        <v>0</v>
      </c>
      <c r="Z20" s="13">
        <f t="shared" si="10"/>
        <v>0</v>
      </c>
      <c r="AA20" s="13">
        <f t="shared" si="11"/>
        <v>0</v>
      </c>
      <c r="AB20" s="13">
        <f t="shared" si="12"/>
        <v>0</v>
      </c>
      <c r="AC20" s="13">
        <f t="shared" si="13"/>
        <v>0</v>
      </c>
      <c r="AD20" s="13">
        <f t="shared" si="14"/>
        <v>0</v>
      </c>
      <c r="AE20" s="13">
        <f t="shared" si="15"/>
        <v>0</v>
      </c>
      <c r="AF20" s="13">
        <f t="shared" si="16"/>
        <v>0</v>
      </c>
      <c r="AG20" s="13">
        <f t="shared" si="17"/>
        <v>0</v>
      </c>
      <c r="AH20" s="13">
        <f t="shared" si="18"/>
        <v>0</v>
      </c>
      <c r="AI20" s="13">
        <f t="shared" si="19"/>
        <v>0</v>
      </c>
      <c r="AJ20" s="13">
        <f t="shared" si="20"/>
        <v>0</v>
      </c>
      <c r="AL20" s="13">
        <f t="shared" si="21"/>
        <v>0</v>
      </c>
      <c r="AP20" s="13">
        <f t="shared" si="22"/>
        <v>0</v>
      </c>
    </row>
    <row r="21" s="11" customFormat="1" ht="20.1" customHeight="1" spans="1:42">
      <c r="A21" s="4">
        <v>10160</v>
      </c>
      <c r="B21" s="4">
        <v>10170</v>
      </c>
      <c r="C21" s="4">
        <v>0</v>
      </c>
      <c r="D21" s="4">
        <v>0</v>
      </c>
      <c r="E21" s="4">
        <v>0</v>
      </c>
      <c r="F21" s="4">
        <v>0</v>
      </c>
      <c r="G21" s="4">
        <v>1</v>
      </c>
      <c r="H21" s="4">
        <v>1</v>
      </c>
      <c r="I21" s="4" t="s">
        <v>109</v>
      </c>
      <c r="J21" s="4" t="s">
        <v>110</v>
      </c>
      <c r="K21" s="4">
        <v>2</v>
      </c>
      <c r="L21" s="4" t="s">
        <v>111</v>
      </c>
      <c r="M21" s="4" t="s">
        <v>112</v>
      </c>
      <c r="N21" s="4" t="s">
        <v>113</v>
      </c>
      <c r="O21" s="4" t="s">
        <v>114</v>
      </c>
      <c r="P21" s="4" t="s">
        <v>115</v>
      </c>
      <c r="Q21" s="4" t="s">
        <v>116</v>
      </c>
      <c r="R21" s="4" t="s">
        <v>115</v>
      </c>
      <c r="S21" s="4" t="s">
        <v>117</v>
      </c>
      <c r="T21" s="4" t="s">
        <v>108</v>
      </c>
      <c r="U21" s="15" t="s">
        <v>107</v>
      </c>
      <c r="V21" s="4">
        <v>0</v>
      </c>
      <c r="W21" s="4">
        <v>0</v>
      </c>
      <c r="X21" s="4">
        <v>0</v>
      </c>
      <c r="Z21" s="13">
        <f t="shared" si="10"/>
        <v>2</v>
      </c>
      <c r="AA21" s="13">
        <f t="shared" si="11"/>
        <v>2</v>
      </c>
      <c r="AB21" s="13">
        <f t="shared" si="12"/>
        <v>0</v>
      </c>
      <c r="AC21" s="13">
        <f t="shared" si="13"/>
        <v>3</v>
      </c>
      <c r="AD21" s="13">
        <f t="shared" si="14"/>
        <v>3</v>
      </c>
      <c r="AE21" s="13">
        <f t="shared" si="15"/>
        <v>3</v>
      </c>
      <c r="AF21" s="13">
        <f t="shared" si="16"/>
        <v>3</v>
      </c>
      <c r="AG21" s="13">
        <f t="shared" si="17"/>
        <v>3</v>
      </c>
      <c r="AH21" s="13">
        <f t="shared" si="18"/>
        <v>3</v>
      </c>
      <c r="AI21" s="13">
        <f t="shared" si="19"/>
        <v>3</v>
      </c>
      <c r="AJ21" s="13">
        <f t="shared" si="20"/>
        <v>3</v>
      </c>
      <c r="AL21" s="13">
        <f t="shared" si="21"/>
        <v>3</v>
      </c>
      <c r="AP21" s="13">
        <f t="shared" si="22"/>
        <v>3</v>
      </c>
    </row>
    <row r="22" s="11" customFormat="1" ht="20.1" customHeight="1" spans="1:42">
      <c r="A22" s="4">
        <v>10170</v>
      </c>
      <c r="B22" s="4">
        <v>10180</v>
      </c>
      <c r="C22" s="4">
        <v>0</v>
      </c>
      <c r="D22" s="4">
        <v>0</v>
      </c>
      <c r="E22" s="4">
        <v>0</v>
      </c>
      <c r="F22" s="4">
        <v>0</v>
      </c>
      <c r="G22" s="4">
        <v>0</v>
      </c>
      <c r="H22" s="4">
        <v>0</v>
      </c>
      <c r="I22" s="4">
        <v>0</v>
      </c>
      <c r="J22" s="4" t="s">
        <v>47</v>
      </c>
      <c r="K22" s="4">
        <v>0</v>
      </c>
      <c r="L22" s="4">
        <v>0</v>
      </c>
      <c r="M22" s="4" t="s">
        <v>47</v>
      </c>
      <c r="N22" s="4">
        <v>0</v>
      </c>
      <c r="O22" s="4" t="s">
        <v>47</v>
      </c>
      <c r="P22" s="4">
        <v>0</v>
      </c>
      <c r="Q22" s="4" t="s">
        <v>47</v>
      </c>
      <c r="R22" s="4">
        <v>0</v>
      </c>
      <c r="S22" s="4" t="s">
        <v>47</v>
      </c>
      <c r="T22" s="4">
        <v>0</v>
      </c>
      <c r="U22" s="4">
        <v>0</v>
      </c>
      <c r="V22" s="4">
        <v>0</v>
      </c>
      <c r="W22" s="4">
        <v>0</v>
      </c>
      <c r="X22" s="4">
        <v>0</v>
      </c>
      <c r="Z22" s="13">
        <f t="shared" si="10"/>
        <v>0</v>
      </c>
      <c r="AA22" s="13">
        <f t="shared" si="11"/>
        <v>0</v>
      </c>
      <c r="AB22" s="13">
        <f t="shared" si="12"/>
        <v>0</v>
      </c>
      <c r="AC22" s="13">
        <f t="shared" si="13"/>
        <v>0</v>
      </c>
      <c r="AD22" s="13">
        <f t="shared" si="14"/>
        <v>0</v>
      </c>
      <c r="AE22" s="13">
        <f t="shared" si="15"/>
        <v>0</v>
      </c>
      <c r="AF22" s="13">
        <f t="shared" si="16"/>
        <v>0</v>
      </c>
      <c r="AG22" s="13">
        <f t="shared" si="17"/>
        <v>0</v>
      </c>
      <c r="AH22" s="13">
        <f t="shared" si="18"/>
        <v>0</v>
      </c>
      <c r="AI22" s="13">
        <f t="shared" si="19"/>
        <v>0</v>
      </c>
      <c r="AJ22" s="13">
        <f t="shared" si="20"/>
        <v>0</v>
      </c>
      <c r="AL22" s="13">
        <f t="shared" si="21"/>
        <v>0</v>
      </c>
      <c r="AP22" s="13">
        <f t="shared" si="22"/>
        <v>0</v>
      </c>
    </row>
    <row r="23" s="11" customFormat="1" ht="20.1" customHeight="1" spans="1:42">
      <c r="A23" s="4">
        <v>10180</v>
      </c>
      <c r="B23" s="4">
        <v>10190</v>
      </c>
      <c r="C23" s="4">
        <v>0</v>
      </c>
      <c r="D23" s="4">
        <v>0</v>
      </c>
      <c r="E23" s="4">
        <v>0</v>
      </c>
      <c r="F23" s="4">
        <v>0</v>
      </c>
      <c r="G23" s="4">
        <v>1</v>
      </c>
      <c r="H23" s="4">
        <v>1</v>
      </c>
      <c r="I23" s="4" t="s">
        <v>118</v>
      </c>
      <c r="J23" s="4" t="s">
        <v>119</v>
      </c>
      <c r="K23" s="4">
        <v>4</v>
      </c>
      <c r="L23" s="4" t="s">
        <v>120</v>
      </c>
      <c r="M23" s="4" t="s">
        <v>121</v>
      </c>
      <c r="N23" s="4" t="s">
        <v>122</v>
      </c>
      <c r="O23" s="4" t="s">
        <v>123</v>
      </c>
      <c r="P23" s="4" t="s">
        <v>124</v>
      </c>
      <c r="Q23" s="4" t="s">
        <v>125</v>
      </c>
      <c r="R23" s="4" t="s">
        <v>124</v>
      </c>
      <c r="S23" s="4" t="s">
        <v>125</v>
      </c>
      <c r="T23" s="4" t="s">
        <v>126</v>
      </c>
      <c r="U23" s="4">
        <v>0</v>
      </c>
      <c r="V23" s="4">
        <v>0</v>
      </c>
      <c r="W23" s="4">
        <v>0</v>
      </c>
      <c r="X23" s="4">
        <v>0</v>
      </c>
      <c r="Z23" s="13">
        <f t="shared" si="10"/>
        <v>2</v>
      </c>
      <c r="AA23" s="13">
        <f t="shared" si="11"/>
        <v>2</v>
      </c>
      <c r="AB23" s="13">
        <f t="shared" si="12"/>
        <v>0</v>
      </c>
      <c r="AC23" s="13">
        <f t="shared" si="13"/>
        <v>4</v>
      </c>
      <c r="AD23" s="13">
        <f t="shared" si="14"/>
        <v>4</v>
      </c>
      <c r="AE23" s="13">
        <f t="shared" si="15"/>
        <v>4</v>
      </c>
      <c r="AF23" s="13">
        <f t="shared" si="16"/>
        <v>4</v>
      </c>
      <c r="AG23" s="13">
        <f t="shared" si="17"/>
        <v>4</v>
      </c>
      <c r="AH23" s="13">
        <f t="shared" si="18"/>
        <v>4</v>
      </c>
      <c r="AI23" s="13">
        <f t="shared" si="19"/>
        <v>4</v>
      </c>
      <c r="AJ23" s="13">
        <f t="shared" si="20"/>
        <v>4</v>
      </c>
      <c r="AL23" s="13">
        <f t="shared" si="21"/>
        <v>4</v>
      </c>
      <c r="AP23" s="13">
        <f t="shared" si="22"/>
        <v>4</v>
      </c>
    </row>
    <row r="24" s="11" customFormat="1" ht="20.1" customHeight="1" spans="1:42">
      <c r="A24" s="4">
        <v>10190</v>
      </c>
      <c r="B24" s="4">
        <v>10200</v>
      </c>
      <c r="C24" s="4">
        <v>0</v>
      </c>
      <c r="D24" s="4">
        <v>0</v>
      </c>
      <c r="E24" s="4">
        <v>0</v>
      </c>
      <c r="F24" s="4">
        <v>0</v>
      </c>
      <c r="G24" s="4">
        <v>0</v>
      </c>
      <c r="H24" s="4">
        <v>0</v>
      </c>
      <c r="I24" s="4">
        <v>0</v>
      </c>
      <c r="J24" s="4" t="s">
        <v>47</v>
      </c>
      <c r="K24" s="4">
        <v>0</v>
      </c>
      <c r="L24" s="4">
        <v>0</v>
      </c>
      <c r="M24" s="4" t="s">
        <v>47</v>
      </c>
      <c r="N24" s="4">
        <v>0</v>
      </c>
      <c r="O24" s="4" t="s">
        <v>47</v>
      </c>
      <c r="P24" s="4">
        <v>0</v>
      </c>
      <c r="Q24" s="4" t="s">
        <v>47</v>
      </c>
      <c r="R24" s="4">
        <v>0</v>
      </c>
      <c r="S24" s="4" t="s">
        <v>47</v>
      </c>
      <c r="T24" s="4">
        <v>0</v>
      </c>
      <c r="U24" s="4">
        <v>0</v>
      </c>
      <c r="V24" s="4">
        <v>0</v>
      </c>
      <c r="W24" s="4">
        <v>0</v>
      </c>
      <c r="X24" s="4">
        <v>0</v>
      </c>
      <c r="Z24" s="13">
        <f t="shared" si="10"/>
        <v>0</v>
      </c>
      <c r="AA24" s="13">
        <f t="shared" si="11"/>
        <v>0</v>
      </c>
      <c r="AB24" s="13">
        <f t="shared" si="12"/>
        <v>0</v>
      </c>
      <c r="AC24" s="13">
        <f t="shared" si="13"/>
        <v>0</v>
      </c>
      <c r="AD24" s="13">
        <f t="shared" si="14"/>
        <v>0</v>
      </c>
      <c r="AE24" s="13">
        <f t="shared" si="15"/>
        <v>0</v>
      </c>
      <c r="AF24" s="13">
        <f t="shared" si="16"/>
        <v>0</v>
      </c>
      <c r="AG24" s="13">
        <f t="shared" si="17"/>
        <v>0</v>
      </c>
      <c r="AH24" s="13">
        <f t="shared" si="18"/>
        <v>0</v>
      </c>
      <c r="AI24" s="13">
        <f t="shared" si="19"/>
        <v>0</v>
      </c>
      <c r="AJ24" s="13">
        <f t="shared" si="20"/>
        <v>0</v>
      </c>
      <c r="AL24" s="13">
        <f t="shared" si="21"/>
        <v>0</v>
      </c>
      <c r="AP24" s="13">
        <f t="shared" si="22"/>
        <v>0</v>
      </c>
    </row>
    <row r="25" s="11" customFormat="1" ht="20.1" customHeight="1" spans="1:42">
      <c r="A25" s="4">
        <v>10200</v>
      </c>
      <c r="B25" s="4">
        <v>10210</v>
      </c>
      <c r="C25" s="4">
        <v>0</v>
      </c>
      <c r="D25" s="4">
        <v>0</v>
      </c>
      <c r="E25" s="4">
        <v>0</v>
      </c>
      <c r="F25" s="4">
        <v>0</v>
      </c>
      <c r="G25" s="4">
        <v>1</v>
      </c>
      <c r="H25" s="4">
        <v>1</v>
      </c>
      <c r="I25" s="4" t="s">
        <v>127</v>
      </c>
      <c r="J25" s="4" t="s">
        <v>128</v>
      </c>
      <c r="K25" s="4">
        <v>2</v>
      </c>
      <c r="L25" s="4" t="s">
        <v>129</v>
      </c>
      <c r="M25" s="4" t="s">
        <v>130</v>
      </c>
      <c r="N25" s="4" t="s">
        <v>131</v>
      </c>
      <c r="O25" s="4" t="s">
        <v>132</v>
      </c>
      <c r="P25" s="4" t="s">
        <v>133</v>
      </c>
      <c r="Q25" s="4" t="s">
        <v>133</v>
      </c>
      <c r="R25" s="4" t="s">
        <v>133</v>
      </c>
      <c r="S25" s="4" t="s">
        <v>133</v>
      </c>
      <c r="T25" s="15" t="s">
        <v>134</v>
      </c>
      <c r="U25" s="4">
        <v>0</v>
      </c>
      <c r="V25" s="4">
        <v>0</v>
      </c>
      <c r="W25" s="4">
        <v>0</v>
      </c>
      <c r="X25" s="4">
        <v>0</v>
      </c>
      <c r="Z25" s="13">
        <f t="shared" si="10"/>
        <v>2</v>
      </c>
      <c r="AA25" s="13">
        <f t="shared" si="11"/>
        <v>2</v>
      </c>
      <c r="AB25" s="13">
        <f t="shared" si="12"/>
        <v>0</v>
      </c>
      <c r="AC25" s="13">
        <f t="shared" si="13"/>
        <v>2</v>
      </c>
      <c r="AD25" s="13">
        <f t="shared" si="14"/>
        <v>2</v>
      </c>
      <c r="AE25" s="13">
        <f t="shared" si="15"/>
        <v>2</v>
      </c>
      <c r="AF25" s="13">
        <f t="shared" si="16"/>
        <v>2</v>
      </c>
      <c r="AG25" s="13">
        <f t="shared" si="17"/>
        <v>2</v>
      </c>
      <c r="AH25" s="13">
        <f t="shared" si="18"/>
        <v>2</v>
      </c>
      <c r="AI25" s="13">
        <f t="shared" si="19"/>
        <v>2</v>
      </c>
      <c r="AJ25" s="13">
        <f t="shared" si="20"/>
        <v>2</v>
      </c>
      <c r="AL25" s="13">
        <f t="shared" si="21"/>
        <v>2</v>
      </c>
      <c r="AP25" s="13">
        <f t="shared" si="22"/>
        <v>2</v>
      </c>
    </row>
    <row r="26" s="11" customFormat="1" ht="20.1" customHeight="1" spans="1:42">
      <c r="A26" s="4">
        <v>10210</v>
      </c>
      <c r="B26" s="4">
        <v>10220</v>
      </c>
      <c r="C26" s="4">
        <v>0</v>
      </c>
      <c r="D26" s="4">
        <v>0</v>
      </c>
      <c r="E26" s="4">
        <v>0</v>
      </c>
      <c r="F26" s="4">
        <v>0</v>
      </c>
      <c r="G26" s="4">
        <v>0</v>
      </c>
      <c r="H26" s="4">
        <v>0</v>
      </c>
      <c r="I26" s="4">
        <v>0</v>
      </c>
      <c r="J26" s="4" t="s">
        <v>47</v>
      </c>
      <c r="K26" s="4">
        <v>0</v>
      </c>
      <c r="L26" s="4">
        <v>0</v>
      </c>
      <c r="M26" s="4" t="s">
        <v>47</v>
      </c>
      <c r="N26" s="4">
        <v>0</v>
      </c>
      <c r="O26" s="4" t="s">
        <v>47</v>
      </c>
      <c r="P26" s="4">
        <v>0</v>
      </c>
      <c r="Q26" s="4" t="s">
        <v>47</v>
      </c>
      <c r="R26" s="4">
        <v>0</v>
      </c>
      <c r="S26" s="4" t="s">
        <v>47</v>
      </c>
      <c r="T26" s="4">
        <v>0</v>
      </c>
      <c r="U26" s="4">
        <v>0</v>
      </c>
      <c r="V26" s="4">
        <v>0</v>
      </c>
      <c r="W26" s="4">
        <v>0</v>
      </c>
      <c r="X26" s="4">
        <v>0</v>
      </c>
      <c r="Z26" s="13">
        <f t="shared" si="10"/>
        <v>0</v>
      </c>
      <c r="AA26" s="13">
        <f t="shared" si="11"/>
        <v>0</v>
      </c>
      <c r="AB26" s="13">
        <f t="shared" si="12"/>
        <v>0</v>
      </c>
      <c r="AC26" s="13">
        <f t="shared" si="13"/>
        <v>0</v>
      </c>
      <c r="AD26" s="13">
        <f t="shared" si="14"/>
        <v>0</v>
      </c>
      <c r="AE26" s="13">
        <f t="shared" si="15"/>
        <v>0</v>
      </c>
      <c r="AF26" s="13">
        <f t="shared" si="16"/>
        <v>0</v>
      </c>
      <c r="AG26" s="13">
        <f t="shared" si="17"/>
        <v>0</v>
      </c>
      <c r="AH26" s="13">
        <f t="shared" si="18"/>
        <v>0</v>
      </c>
      <c r="AI26" s="13">
        <f t="shared" si="19"/>
        <v>0</v>
      </c>
      <c r="AJ26" s="13">
        <f t="shared" si="20"/>
        <v>0</v>
      </c>
      <c r="AL26" s="13">
        <f t="shared" si="21"/>
        <v>0</v>
      </c>
      <c r="AP26" s="13">
        <f t="shared" si="22"/>
        <v>0</v>
      </c>
    </row>
    <row r="27" s="11" customFormat="1" ht="20.1" customHeight="1" spans="1:42">
      <c r="A27" s="4">
        <v>10220</v>
      </c>
      <c r="B27" s="4">
        <v>10230</v>
      </c>
      <c r="C27" s="4">
        <v>0</v>
      </c>
      <c r="D27" s="4">
        <v>0</v>
      </c>
      <c r="E27" s="4">
        <v>0</v>
      </c>
      <c r="F27" s="4">
        <v>0</v>
      </c>
      <c r="G27" s="4">
        <v>1</v>
      </c>
      <c r="H27" s="4">
        <v>1</v>
      </c>
      <c r="I27" s="4" t="s">
        <v>135</v>
      </c>
      <c r="J27" s="4" t="s">
        <v>136</v>
      </c>
      <c r="K27" s="4">
        <v>1</v>
      </c>
      <c r="L27" s="4" t="s">
        <v>137</v>
      </c>
      <c r="M27" s="4" t="s">
        <v>138</v>
      </c>
      <c r="N27" s="4" t="s">
        <v>139</v>
      </c>
      <c r="O27" s="4" t="s">
        <v>140</v>
      </c>
      <c r="P27" s="4" t="s">
        <v>141</v>
      </c>
      <c r="Q27" s="4" t="s">
        <v>141</v>
      </c>
      <c r="R27" s="4" t="s">
        <v>141</v>
      </c>
      <c r="S27" s="4" t="s">
        <v>141</v>
      </c>
      <c r="T27" s="4">
        <v>0</v>
      </c>
      <c r="U27" s="4" t="s">
        <v>142</v>
      </c>
      <c r="V27" s="4">
        <v>0</v>
      </c>
      <c r="W27" s="4">
        <v>0</v>
      </c>
      <c r="X27" s="4">
        <v>0</v>
      </c>
      <c r="Z27" s="13">
        <f t="shared" si="10"/>
        <v>2</v>
      </c>
      <c r="AA27" s="13">
        <f t="shared" si="11"/>
        <v>2</v>
      </c>
      <c r="AB27" s="13">
        <f t="shared" si="12"/>
        <v>0</v>
      </c>
      <c r="AC27" s="13">
        <f t="shared" si="13"/>
        <v>1</v>
      </c>
      <c r="AD27" s="13">
        <f t="shared" si="14"/>
        <v>1</v>
      </c>
      <c r="AE27" s="13">
        <f t="shared" si="15"/>
        <v>1</v>
      </c>
      <c r="AF27" s="13">
        <f t="shared" si="16"/>
        <v>1</v>
      </c>
      <c r="AG27" s="13">
        <f t="shared" si="17"/>
        <v>1</v>
      </c>
      <c r="AH27" s="13">
        <f t="shared" si="18"/>
        <v>1</v>
      </c>
      <c r="AI27" s="13">
        <f t="shared" si="19"/>
        <v>1</v>
      </c>
      <c r="AJ27" s="13">
        <f t="shared" si="20"/>
        <v>1</v>
      </c>
      <c r="AL27" s="13">
        <f t="shared" si="21"/>
        <v>1</v>
      </c>
      <c r="AP27" s="13">
        <f t="shared" si="22"/>
        <v>1</v>
      </c>
    </row>
    <row r="28" s="11" customFormat="1" ht="20.1" customHeight="1" spans="1:42">
      <c r="A28" s="4">
        <v>10230</v>
      </c>
      <c r="B28" s="4">
        <v>10240</v>
      </c>
      <c r="C28" s="4">
        <v>0</v>
      </c>
      <c r="D28" s="4">
        <v>0</v>
      </c>
      <c r="E28" s="4">
        <v>0</v>
      </c>
      <c r="F28" s="4">
        <v>0</v>
      </c>
      <c r="G28" s="4">
        <v>0</v>
      </c>
      <c r="H28" s="4">
        <v>0</v>
      </c>
      <c r="I28" s="4">
        <v>0</v>
      </c>
      <c r="J28" s="4" t="s">
        <v>47</v>
      </c>
      <c r="K28" s="4">
        <v>0</v>
      </c>
      <c r="L28" s="4">
        <v>0</v>
      </c>
      <c r="M28" s="4" t="s">
        <v>47</v>
      </c>
      <c r="N28" s="4">
        <v>0</v>
      </c>
      <c r="O28" s="4" t="s">
        <v>47</v>
      </c>
      <c r="P28" s="4">
        <v>0</v>
      </c>
      <c r="Q28" s="4" t="s">
        <v>47</v>
      </c>
      <c r="R28" s="4">
        <v>0</v>
      </c>
      <c r="S28" s="4" t="s">
        <v>47</v>
      </c>
      <c r="T28" s="4">
        <v>0</v>
      </c>
      <c r="U28" s="4">
        <v>0</v>
      </c>
      <c r="V28" s="4">
        <v>0</v>
      </c>
      <c r="W28" s="4">
        <v>0</v>
      </c>
      <c r="X28" s="4">
        <v>0</v>
      </c>
      <c r="Z28" s="13">
        <f t="shared" si="10"/>
        <v>0</v>
      </c>
      <c r="AA28" s="13">
        <f t="shared" si="11"/>
        <v>0</v>
      </c>
      <c r="AB28" s="13">
        <f t="shared" si="12"/>
        <v>0</v>
      </c>
      <c r="AC28" s="13">
        <f t="shared" si="13"/>
        <v>0</v>
      </c>
      <c r="AD28" s="13">
        <f t="shared" si="14"/>
        <v>0</v>
      </c>
      <c r="AE28" s="13">
        <f t="shared" si="15"/>
        <v>0</v>
      </c>
      <c r="AF28" s="13">
        <f t="shared" si="16"/>
        <v>0</v>
      </c>
      <c r="AG28" s="13">
        <f t="shared" si="17"/>
        <v>0</v>
      </c>
      <c r="AH28" s="13">
        <f t="shared" si="18"/>
        <v>0</v>
      </c>
      <c r="AI28" s="13">
        <f t="shared" si="19"/>
        <v>0</v>
      </c>
      <c r="AJ28" s="13">
        <f t="shared" si="20"/>
        <v>0</v>
      </c>
      <c r="AL28" s="13">
        <f t="shared" si="21"/>
        <v>0</v>
      </c>
      <c r="AP28" s="13">
        <f t="shared" si="22"/>
        <v>0</v>
      </c>
    </row>
    <row r="29" s="11" customFormat="1" ht="20.1" customHeight="1" spans="1:42">
      <c r="A29" s="4">
        <v>10240</v>
      </c>
      <c r="B29" s="4">
        <v>10250</v>
      </c>
      <c r="C29" s="4">
        <v>0</v>
      </c>
      <c r="D29" s="4">
        <v>0</v>
      </c>
      <c r="E29" s="4">
        <v>0</v>
      </c>
      <c r="F29" s="4">
        <v>0</v>
      </c>
      <c r="G29" s="4">
        <v>1</v>
      </c>
      <c r="H29" s="4">
        <v>0</v>
      </c>
      <c r="I29" s="4">
        <v>0</v>
      </c>
      <c r="J29" s="4" t="s">
        <v>47</v>
      </c>
      <c r="K29" s="4">
        <v>0</v>
      </c>
      <c r="L29" s="4" t="s">
        <v>143</v>
      </c>
      <c r="M29" s="4" t="s">
        <v>144</v>
      </c>
      <c r="N29" s="4" t="s">
        <v>143</v>
      </c>
      <c r="O29" s="4" t="s">
        <v>145</v>
      </c>
      <c r="P29" s="4" t="s">
        <v>146</v>
      </c>
      <c r="Q29" s="4" t="s">
        <v>147</v>
      </c>
      <c r="R29" s="4" t="s">
        <v>146</v>
      </c>
      <c r="S29" s="4" t="s">
        <v>147</v>
      </c>
      <c r="T29" s="4">
        <v>0</v>
      </c>
      <c r="U29" s="4">
        <v>0</v>
      </c>
      <c r="V29" s="4">
        <v>0</v>
      </c>
      <c r="W29" s="4">
        <v>0</v>
      </c>
      <c r="X29" s="4">
        <v>0</v>
      </c>
      <c r="Z29" s="13">
        <f t="shared" si="10"/>
        <v>0</v>
      </c>
      <c r="AA29" s="13">
        <f t="shared" si="11"/>
        <v>0</v>
      </c>
      <c r="AB29" s="13">
        <f t="shared" si="12"/>
        <v>0</v>
      </c>
      <c r="AC29" s="13">
        <f t="shared" si="13"/>
        <v>3</v>
      </c>
      <c r="AD29" s="13">
        <f t="shared" si="14"/>
        <v>3</v>
      </c>
      <c r="AE29" s="13">
        <f t="shared" si="15"/>
        <v>3</v>
      </c>
      <c r="AF29" s="13">
        <f t="shared" si="16"/>
        <v>3</v>
      </c>
      <c r="AG29" s="13">
        <f t="shared" si="17"/>
        <v>3</v>
      </c>
      <c r="AH29" s="13">
        <f t="shared" si="18"/>
        <v>3</v>
      </c>
      <c r="AI29" s="13">
        <f t="shared" si="19"/>
        <v>3</v>
      </c>
      <c r="AJ29" s="13">
        <f t="shared" si="20"/>
        <v>3</v>
      </c>
      <c r="AL29" s="13">
        <f t="shared" si="21"/>
        <v>3</v>
      </c>
      <c r="AP29" s="13">
        <f t="shared" si="22"/>
        <v>3</v>
      </c>
    </row>
    <row r="30" s="11" customFormat="1" ht="20.1" customHeight="1" spans="1:42">
      <c r="A30" s="4">
        <v>10250</v>
      </c>
      <c r="B30" s="4">
        <v>20010</v>
      </c>
      <c r="C30" s="4">
        <v>0</v>
      </c>
      <c r="D30" s="4">
        <v>0</v>
      </c>
      <c r="E30" s="4">
        <v>0</v>
      </c>
      <c r="F30" s="4">
        <v>0</v>
      </c>
      <c r="G30" s="4">
        <v>1</v>
      </c>
      <c r="H30" s="4">
        <v>1</v>
      </c>
      <c r="I30" s="4" t="s">
        <v>148</v>
      </c>
      <c r="J30" s="4" t="s">
        <v>149</v>
      </c>
      <c r="K30" s="4">
        <v>3</v>
      </c>
      <c r="L30" s="4" t="s">
        <v>150</v>
      </c>
      <c r="M30" s="4" t="s">
        <v>151</v>
      </c>
      <c r="N30" s="4" t="s">
        <v>152</v>
      </c>
      <c r="O30" s="4" t="s">
        <v>153</v>
      </c>
      <c r="P30" s="4" t="s">
        <v>154</v>
      </c>
      <c r="Q30" s="4" t="s">
        <v>155</v>
      </c>
      <c r="R30" s="4" t="s">
        <v>154</v>
      </c>
      <c r="S30" s="4" t="s">
        <v>155</v>
      </c>
      <c r="T30" s="4" t="s">
        <v>156</v>
      </c>
      <c r="U30" s="4" t="s">
        <v>157</v>
      </c>
      <c r="V30" s="4">
        <v>0</v>
      </c>
      <c r="W30" s="4">
        <v>0</v>
      </c>
      <c r="X30" s="4">
        <v>0</v>
      </c>
      <c r="Z30" s="13">
        <f t="shared" si="10"/>
        <v>2</v>
      </c>
      <c r="AA30" s="13">
        <f t="shared" si="11"/>
        <v>2</v>
      </c>
      <c r="AB30" s="13">
        <f t="shared" si="12"/>
        <v>0</v>
      </c>
      <c r="AC30" s="13">
        <f t="shared" si="13"/>
        <v>5</v>
      </c>
      <c r="AD30" s="13">
        <f t="shared" si="14"/>
        <v>5</v>
      </c>
      <c r="AE30" s="13">
        <f t="shared" si="15"/>
        <v>5</v>
      </c>
      <c r="AF30" s="13">
        <f t="shared" si="16"/>
        <v>5</v>
      </c>
      <c r="AG30" s="13">
        <f t="shared" si="17"/>
        <v>5</v>
      </c>
      <c r="AH30" s="13">
        <f t="shared" si="18"/>
        <v>5</v>
      </c>
      <c r="AI30" s="13">
        <f t="shared" si="19"/>
        <v>5</v>
      </c>
      <c r="AJ30" s="13">
        <f t="shared" si="20"/>
        <v>5</v>
      </c>
      <c r="AL30" s="13">
        <f t="shared" si="21"/>
        <v>5</v>
      </c>
      <c r="AP30" s="13">
        <f t="shared" si="22"/>
        <v>5</v>
      </c>
    </row>
    <row r="31" s="13" customFormat="1" ht="20.1" customHeight="1" spans="1:42">
      <c r="A31" s="4">
        <v>20010</v>
      </c>
      <c r="B31" s="4">
        <v>20020</v>
      </c>
      <c r="C31" s="4">
        <v>1</v>
      </c>
      <c r="D31" s="4" t="s">
        <v>158</v>
      </c>
      <c r="E31" s="4">
        <v>2</v>
      </c>
      <c r="F31" s="4">
        <v>0</v>
      </c>
      <c r="G31" s="4">
        <v>0</v>
      </c>
      <c r="H31" s="4">
        <v>0</v>
      </c>
      <c r="I31" s="4">
        <v>0</v>
      </c>
      <c r="J31" s="4" t="s">
        <v>47</v>
      </c>
      <c r="K31" s="4">
        <v>0</v>
      </c>
      <c r="L31" s="4">
        <v>0</v>
      </c>
      <c r="M31" s="4" t="s">
        <v>47</v>
      </c>
      <c r="N31" s="4">
        <v>0</v>
      </c>
      <c r="O31" s="4" t="s">
        <v>47</v>
      </c>
      <c r="P31" s="4">
        <v>0</v>
      </c>
      <c r="Q31" s="4" t="s">
        <v>47</v>
      </c>
      <c r="R31" s="4">
        <v>0</v>
      </c>
      <c r="S31" s="4" t="s">
        <v>47</v>
      </c>
      <c r="T31" s="4">
        <v>0</v>
      </c>
      <c r="U31" s="4">
        <v>0</v>
      </c>
      <c r="V31" s="4">
        <v>0</v>
      </c>
      <c r="W31" s="4">
        <v>0</v>
      </c>
      <c r="X31" s="4">
        <v>0</v>
      </c>
      <c r="Z31" s="13">
        <f t="shared" si="10"/>
        <v>0</v>
      </c>
      <c r="AA31" s="13">
        <f t="shared" si="11"/>
        <v>0</v>
      </c>
      <c r="AB31" s="13">
        <f t="shared" si="12"/>
        <v>0</v>
      </c>
      <c r="AC31" s="13">
        <f t="shared" si="13"/>
        <v>0</v>
      </c>
      <c r="AD31" s="13">
        <f t="shared" si="14"/>
        <v>0</v>
      </c>
      <c r="AE31" s="13">
        <f t="shared" si="15"/>
        <v>0</v>
      </c>
      <c r="AF31" s="13">
        <f t="shared" si="16"/>
        <v>0</v>
      </c>
      <c r="AG31" s="13">
        <f t="shared" si="17"/>
        <v>0</v>
      </c>
      <c r="AH31" s="13">
        <f t="shared" si="18"/>
        <v>0</v>
      </c>
      <c r="AI31" s="13">
        <f t="shared" si="19"/>
        <v>0</v>
      </c>
      <c r="AJ31" s="13">
        <f t="shared" si="20"/>
        <v>0</v>
      </c>
      <c r="AL31" s="13">
        <f t="shared" si="21"/>
        <v>0</v>
      </c>
      <c r="AP31" s="13">
        <f t="shared" si="22"/>
        <v>0</v>
      </c>
    </row>
    <row r="32" s="11" customFormat="1" ht="20.1" customHeight="1" spans="1:42">
      <c r="A32" s="4">
        <v>20020</v>
      </c>
      <c r="B32" s="4">
        <v>20030</v>
      </c>
      <c r="C32" s="4">
        <v>0</v>
      </c>
      <c r="D32" s="4">
        <v>0</v>
      </c>
      <c r="E32" s="4">
        <v>0</v>
      </c>
      <c r="F32" s="4">
        <v>0</v>
      </c>
      <c r="G32" s="4">
        <v>1</v>
      </c>
      <c r="H32" s="4">
        <v>0</v>
      </c>
      <c r="I32" s="4">
        <v>0</v>
      </c>
      <c r="J32" s="4" t="s">
        <v>47</v>
      </c>
      <c r="K32" s="4">
        <v>0</v>
      </c>
      <c r="L32" s="4" t="s">
        <v>159</v>
      </c>
      <c r="M32" s="4" t="s">
        <v>160</v>
      </c>
      <c r="N32" s="4" t="s">
        <v>159</v>
      </c>
      <c r="O32" s="4" t="s">
        <v>161</v>
      </c>
      <c r="P32" s="4" t="s">
        <v>162</v>
      </c>
      <c r="Q32" s="4" t="s">
        <v>163</v>
      </c>
      <c r="R32" s="4" t="s">
        <v>162</v>
      </c>
      <c r="S32" s="4" t="s">
        <v>164</v>
      </c>
      <c r="T32" s="4">
        <v>0</v>
      </c>
      <c r="U32" s="4">
        <v>0</v>
      </c>
      <c r="V32" s="4">
        <v>0</v>
      </c>
      <c r="W32" s="4">
        <v>0</v>
      </c>
      <c r="X32" s="4">
        <v>0</v>
      </c>
      <c r="Z32" s="13">
        <f t="shared" si="10"/>
        <v>0</v>
      </c>
      <c r="AA32" s="13">
        <f t="shared" si="11"/>
        <v>0</v>
      </c>
      <c r="AB32" s="13">
        <f t="shared" si="12"/>
        <v>0</v>
      </c>
      <c r="AC32" s="13">
        <f t="shared" si="13"/>
        <v>4</v>
      </c>
      <c r="AD32" s="13">
        <f t="shared" si="14"/>
        <v>4</v>
      </c>
      <c r="AE32" s="13">
        <f t="shared" si="15"/>
        <v>4</v>
      </c>
      <c r="AF32" s="13">
        <f t="shared" si="16"/>
        <v>4</v>
      </c>
      <c r="AG32" s="13">
        <f t="shared" si="17"/>
        <v>4</v>
      </c>
      <c r="AH32" s="13">
        <f t="shared" si="18"/>
        <v>4</v>
      </c>
      <c r="AI32" s="13">
        <f t="shared" si="19"/>
        <v>4</v>
      </c>
      <c r="AJ32" s="13">
        <f t="shared" si="20"/>
        <v>4</v>
      </c>
      <c r="AL32" s="13">
        <f t="shared" si="21"/>
        <v>4</v>
      </c>
      <c r="AP32" s="13">
        <f t="shared" si="22"/>
        <v>4</v>
      </c>
    </row>
    <row r="33" s="11" customFormat="1" ht="20.1" customHeight="1" spans="1:42">
      <c r="A33" s="4">
        <v>20030</v>
      </c>
      <c r="B33" s="4">
        <v>20040</v>
      </c>
      <c r="C33" s="4">
        <v>0</v>
      </c>
      <c r="D33" s="4">
        <v>0</v>
      </c>
      <c r="E33" s="4">
        <v>0</v>
      </c>
      <c r="F33" s="4">
        <v>0</v>
      </c>
      <c r="G33" s="4">
        <v>0</v>
      </c>
      <c r="H33" s="4">
        <v>0</v>
      </c>
      <c r="I33" s="4">
        <v>0</v>
      </c>
      <c r="J33" s="4" t="s">
        <v>47</v>
      </c>
      <c r="K33" s="4">
        <v>0</v>
      </c>
      <c r="L33" s="4">
        <v>0</v>
      </c>
      <c r="M33" s="4" t="s">
        <v>47</v>
      </c>
      <c r="N33" s="4">
        <v>0</v>
      </c>
      <c r="O33" s="4" t="s">
        <v>47</v>
      </c>
      <c r="P33" s="4">
        <v>0</v>
      </c>
      <c r="Q33" s="4" t="s">
        <v>47</v>
      </c>
      <c r="R33" s="4">
        <v>0</v>
      </c>
      <c r="S33" s="4" t="s">
        <v>47</v>
      </c>
      <c r="T33" s="4">
        <v>0</v>
      </c>
      <c r="U33" s="4">
        <v>0</v>
      </c>
      <c r="V33" s="4">
        <v>0</v>
      </c>
      <c r="W33" s="4">
        <v>0</v>
      </c>
      <c r="X33" s="4">
        <v>0</v>
      </c>
      <c r="Z33" s="13">
        <f t="shared" si="10"/>
        <v>0</v>
      </c>
      <c r="AA33" s="13">
        <f t="shared" si="11"/>
        <v>0</v>
      </c>
      <c r="AB33" s="13">
        <f t="shared" si="12"/>
        <v>0</v>
      </c>
      <c r="AC33" s="13">
        <f t="shared" si="13"/>
        <v>0</v>
      </c>
      <c r="AD33" s="13">
        <f t="shared" si="14"/>
        <v>0</v>
      </c>
      <c r="AE33" s="13">
        <f t="shared" si="15"/>
        <v>0</v>
      </c>
      <c r="AF33" s="13">
        <f t="shared" si="16"/>
        <v>0</v>
      </c>
      <c r="AG33" s="13">
        <f t="shared" si="17"/>
        <v>0</v>
      </c>
      <c r="AH33" s="13">
        <f t="shared" si="18"/>
        <v>0</v>
      </c>
      <c r="AI33" s="13">
        <f t="shared" si="19"/>
        <v>0</v>
      </c>
      <c r="AJ33" s="13">
        <f t="shared" si="20"/>
        <v>0</v>
      </c>
      <c r="AL33" s="13">
        <f t="shared" si="21"/>
        <v>0</v>
      </c>
      <c r="AP33" s="13">
        <f t="shared" si="22"/>
        <v>0</v>
      </c>
    </row>
    <row r="34" s="11" customFormat="1" ht="20.1" customHeight="1" spans="1:42">
      <c r="A34" s="4">
        <v>20040</v>
      </c>
      <c r="B34" s="4">
        <v>20050</v>
      </c>
      <c r="C34" s="4">
        <v>0</v>
      </c>
      <c r="D34" s="4">
        <v>0</v>
      </c>
      <c r="E34" s="4">
        <v>0</v>
      </c>
      <c r="F34" s="4">
        <v>0</v>
      </c>
      <c r="G34" s="4">
        <v>1</v>
      </c>
      <c r="H34" s="4">
        <v>1</v>
      </c>
      <c r="I34" s="4" t="s">
        <v>165</v>
      </c>
      <c r="J34" s="4" t="s">
        <v>166</v>
      </c>
      <c r="K34" s="4">
        <v>3</v>
      </c>
      <c r="L34" s="4" t="s">
        <v>167</v>
      </c>
      <c r="M34" s="4" t="s">
        <v>168</v>
      </c>
      <c r="N34" s="4" t="s">
        <v>169</v>
      </c>
      <c r="O34" s="4" t="s">
        <v>170</v>
      </c>
      <c r="P34" s="4" t="s">
        <v>171</v>
      </c>
      <c r="Q34" s="4" t="s">
        <v>172</v>
      </c>
      <c r="R34" s="4" t="s">
        <v>171</v>
      </c>
      <c r="S34" s="4" t="s">
        <v>172</v>
      </c>
      <c r="T34" s="4">
        <v>0</v>
      </c>
      <c r="U34" s="4" t="s">
        <v>173</v>
      </c>
      <c r="V34" s="4">
        <v>0</v>
      </c>
      <c r="W34" s="4">
        <v>0</v>
      </c>
      <c r="X34" s="4">
        <v>0</v>
      </c>
      <c r="Z34" s="13">
        <f t="shared" si="10"/>
        <v>2</v>
      </c>
      <c r="AA34" s="13">
        <f t="shared" si="11"/>
        <v>2</v>
      </c>
      <c r="AB34" s="13">
        <f t="shared" si="12"/>
        <v>0</v>
      </c>
      <c r="AC34" s="13">
        <f t="shared" si="13"/>
        <v>2</v>
      </c>
      <c r="AD34" s="13">
        <f t="shared" si="14"/>
        <v>2</v>
      </c>
      <c r="AE34" s="13">
        <f t="shared" si="15"/>
        <v>2</v>
      </c>
      <c r="AF34" s="13">
        <f t="shared" si="16"/>
        <v>2</v>
      </c>
      <c r="AG34" s="13">
        <f t="shared" si="17"/>
        <v>3</v>
      </c>
      <c r="AH34" s="13">
        <f t="shared" si="18"/>
        <v>3</v>
      </c>
      <c r="AI34" s="13">
        <f t="shared" si="19"/>
        <v>3</v>
      </c>
      <c r="AJ34" s="13">
        <f t="shared" si="20"/>
        <v>3</v>
      </c>
      <c r="AL34" s="13">
        <f t="shared" si="21"/>
        <v>2</v>
      </c>
      <c r="AP34" s="13">
        <f t="shared" si="22"/>
        <v>3</v>
      </c>
    </row>
    <row r="35" s="11" customFormat="1" ht="20.1" customHeight="1" spans="1:42">
      <c r="A35" s="4">
        <v>20050</v>
      </c>
      <c r="B35" s="4">
        <v>20060</v>
      </c>
      <c r="C35" s="4">
        <v>0</v>
      </c>
      <c r="D35" s="4">
        <v>0</v>
      </c>
      <c r="E35" s="4">
        <v>0</v>
      </c>
      <c r="F35" s="4">
        <v>0</v>
      </c>
      <c r="G35" s="4">
        <v>0</v>
      </c>
      <c r="H35" s="4">
        <v>0</v>
      </c>
      <c r="I35" s="4">
        <v>0</v>
      </c>
      <c r="J35" s="4" t="s">
        <v>47</v>
      </c>
      <c r="K35" s="4">
        <v>0</v>
      </c>
      <c r="L35" s="4">
        <v>0</v>
      </c>
      <c r="M35" s="4" t="s">
        <v>47</v>
      </c>
      <c r="N35" s="4">
        <v>0</v>
      </c>
      <c r="O35" s="4" t="s">
        <v>47</v>
      </c>
      <c r="P35" s="4">
        <v>0</v>
      </c>
      <c r="Q35" s="4" t="s">
        <v>47</v>
      </c>
      <c r="R35" s="4">
        <v>0</v>
      </c>
      <c r="S35" s="4" t="s">
        <v>47</v>
      </c>
      <c r="T35" s="4">
        <v>0</v>
      </c>
      <c r="U35" s="4">
        <v>0</v>
      </c>
      <c r="V35" s="4">
        <v>0</v>
      </c>
      <c r="W35" s="4">
        <v>0</v>
      </c>
      <c r="X35" s="4">
        <v>0</v>
      </c>
      <c r="Z35" s="13">
        <f t="shared" si="10"/>
        <v>0</v>
      </c>
      <c r="AA35" s="13">
        <f t="shared" si="11"/>
        <v>0</v>
      </c>
      <c r="AB35" s="13">
        <f t="shared" si="12"/>
        <v>0</v>
      </c>
      <c r="AC35" s="13">
        <f t="shared" si="13"/>
        <v>0</v>
      </c>
      <c r="AD35" s="13">
        <f t="shared" si="14"/>
        <v>0</v>
      </c>
      <c r="AE35" s="13">
        <f t="shared" si="15"/>
        <v>0</v>
      </c>
      <c r="AF35" s="13">
        <f t="shared" si="16"/>
        <v>0</v>
      </c>
      <c r="AG35" s="13">
        <f t="shared" si="17"/>
        <v>0</v>
      </c>
      <c r="AH35" s="13">
        <f t="shared" si="18"/>
        <v>0</v>
      </c>
      <c r="AI35" s="13">
        <f t="shared" si="19"/>
        <v>0</v>
      </c>
      <c r="AJ35" s="13">
        <f t="shared" si="20"/>
        <v>0</v>
      </c>
      <c r="AL35" s="13">
        <f t="shared" si="21"/>
        <v>0</v>
      </c>
      <c r="AP35" s="13">
        <f t="shared" si="22"/>
        <v>0</v>
      </c>
    </row>
    <row r="36" s="11" customFormat="1" ht="20.1" customHeight="1" spans="1:42">
      <c r="A36" s="4">
        <v>20060</v>
      </c>
      <c r="B36" s="4">
        <v>20070</v>
      </c>
      <c r="C36" s="4">
        <v>0</v>
      </c>
      <c r="D36" s="4">
        <v>0</v>
      </c>
      <c r="E36" s="4">
        <v>0</v>
      </c>
      <c r="F36" s="4">
        <v>0</v>
      </c>
      <c r="G36" s="4">
        <v>1</v>
      </c>
      <c r="H36" s="4">
        <v>1</v>
      </c>
      <c r="I36" s="4" t="s">
        <v>174</v>
      </c>
      <c r="J36" s="4" t="s">
        <v>175</v>
      </c>
      <c r="K36" s="4">
        <v>5</v>
      </c>
      <c r="L36" s="4" t="s">
        <v>176</v>
      </c>
      <c r="M36" s="4" t="s">
        <v>177</v>
      </c>
      <c r="N36" s="4" t="s">
        <v>178</v>
      </c>
      <c r="O36" s="4" t="s">
        <v>179</v>
      </c>
      <c r="P36" s="4" t="s">
        <v>180</v>
      </c>
      <c r="Q36" s="4" t="s">
        <v>181</v>
      </c>
      <c r="R36" s="4" t="s">
        <v>180</v>
      </c>
      <c r="S36" s="4" t="s">
        <v>181</v>
      </c>
      <c r="T36" s="4" t="s">
        <v>182</v>
      </c>
      <c r="U36" s="4">
        <v>0</v>
      </c>
      <c r="V36" s="4">
        <v>0</v>
      </c>
      <c r="W36" s="4">
        <v>0</v>
      </c>
      <c r="X36" s="4">
        <v>0</v>
      </c>
      <c r="Z36" s="13">
        <f t="shared" si="10"/>
        <v>2</v>
      </c>
      <c r="AA36" s="13">
        <f t="shared" si="11"/>
        <v>2</v>
      </c>
      <c r="AB36" s="13">
        <f t="shared" si="12"/>
        <v>0</v>
      </c>
      <c r="AC36" s="13">
        <f t="shared" si="13"/>
        <v>4</v>
      </c>
      <c r="AD36" s="13">
        <f t="shared" si="14"/>
        <v>4</v>
      </c>
      <c r="AE36" s="13">
        <f t="shared" si="15"/>
        <v>4</v>
      </c>
      <c r="AF36" s="13">
        <f t="shared" si="16"/>
        <v>4</v>
      </c>
      <c r="AG36" s="13">
        <f t="shared" si="17"/>
        <v>4</v>
      </c>
      <c r="AH36" s="13">
        <f t="shared" si="18"/>
        <v>4</v>
      </c>
      <c r="AI36" s="13">
        <f t="shared" si="19"/>
        <v>4</v>
      </c>
      <c r="AJ36" s="13">
        <f t="shared" si="20"/>
        <v>4</v>
      </c>
      <c r="AL36" s="13">
        <f t="shared" si="21"/>
        <v>4</v>
      </c>
      <c r="AP36" s="13">
        <f t="shared" si="22"/>
        <v>4</v>
      </c>
    </row>
    <row r="37" s="11" customFormat="1" ht="20.1" customHeight="1" spans="1:42">
      <c r="A37" s="4">
        <v>20070</v>
      </c>
      <c r="B37" s="4">
        <v>20080</v>
      </c>
      <c r="C37" s="4">
        <v>0</v>
      </c>
      <c r="D37" s="4">
        <v>0</v>
      </c>
      <c r="E37" s="4">
        <v>0</v>
      </c>
      <c r="F37" s="4">
        <v>0</v>
      </c>
      <c r="G37" s="4">
        <v>0</v>
      </c>
      <c r="H37" s="4">
        <v>0</v>
      </c>
      <c r="I37" s="4">
        <v>0</v>
      </c>
      <c r="J37" s="4" t="s">
        <v>47</v>
      </c>
      <c r="K37" s="4">
        <v>0</v>
      </c>
      <c r="L37" s="4">
        <v>0</v>
      </c>
      <c r="M37" s="4" t="s">
        <v>47</v>
      </c>
      <c r="N37" s="4">
        <v>0</v>
      </c>
      <c r="O37" s="4" t="s">
        <v>47</v>
      </c>
      <c r="P37" s="4">
        <v>0</v>
      </c>
      <c r="Q37" s="4" t="s">
        <v>47</v>
      </c>
      <c r="R37" s="4">
        <v>0</v>
      </c>
      <c r="S37" s="4" t="s">
        <v>47</v>
      </c>
      <c r="T37" s="4">
        <v>0</v>
      </c>
      <c r="U37" s="4">
        <v>0</v>
      </c>
      <c r="V37" s="4">
        <v>0</v>
      </c>
      <c r="W37" s="4">
        <v>0</v>
      </c>
      <c r="X37" s="4">
        <v>0</v>
      </c>
      <c r="Z37" s="13">
        <f t="shared" si="10"/>
        <v>0</v>
      </c>
      <c r="AA37" s="13">
        <f t="shared" si="11"/>
        <v>0</v>
      </c>
      <c r="AB37" s="13">
        <f t="shared" si="12"/>
        <v>0</v>
      </c>
      <c r="AC37" s="13">
        <f t="shared" si="13"/>
        <v>0</v>
      </c>
      <c r="AD37" s="13">
        <f t="shared" si="14"/>
        <v>0</v>
      </c>
      <c r="AE37" s="13">
        <f t="shared" si="15"/>
        <v>0</v>
      </c>
      <c r="AF37" s="13">
        <f t="shared" si="16"/>
        <v>0</v>
      </c>
      <c r="AG37" s="13">
        <f t="shared" si="17"/>
        <v>0</v>
      </c>
      <c r="AH37" s="13">
        <f t="shared" si="18"/>
        <v>0</v>
      </c>
      <c r="AI37" s="13">
        <f t="shared" si="19"/>
        <v>0</v>
      </c>
      <c r="AJ37" s="13">
        <f t="shared" si="20"/>
        <v>0</v>
      </c>
      <c r="AL37" s="13">
        <f t="shared" si="21"/>
        <v>0</v>
      </c>
      <c r="AP37" s="13">
        <f t="shared" si="22"/>
        <v>0</v>
      </c>
    </row>
    <row r="38" s="11" customFormat="1" ht="20.1" customHeight="1" spans="1:42">
      <c r="A38" s="4">
        <v>20080</v>
      </c>
      <c r="B38" s="4">
        <v>20090</v>
      </c>
      <c r="C38" s="4">
        <v>0</v>
      </c>
      <c r="D38" s="4">
        <v>0</v>
      </c>
      <c r="E38" s="4">
        <v>0</v>
      </c>
      <c r="F38" s="4">
        <v>0</v>
      </c>
      <c r="G38" s="4">
        <v>1</v>
      </c>
      <c r="H38" s="4">
        <v>1</v>
      </c>
      <c r="I38" s="4" t="s">
        <v>183</v>
      </c>
      <c r="J38" s="4" t="s">
        <v>184</v>
      </c>
      <c r="K38" s="4">
        <v>3</v>
      </c>
      <c r="L38" s="4" t="s">
        <v>185</v>
      </c>
      <c r="M38" s="4" t="s">
        <v>186</v>
      </c>
      <c r="N38" s="4" t="s">
        <v>187</v>
      </c>
      <c r="O38" s="4" t="s">
        <v>188</v>
      </c>
      <c r="P38" s="4" t="s">
        <v>189</v>
      </c>
      <c r="Q38" s="4" t="s">
        <v>190</v>
      </c>
      <c r="R38" s="4" t="s">
        <v>189</v>
      </c>
      <c r="S38" s="4" t="s">
        <v>190</v>
      </c>
      <c r="T38" s="4">
        <v>0</v>
      </c>
      <c r="U38" s="4" t="s">
        <v>191</v>
      </c>
      <c r="V38" s="4">
        <v>0</v>
      </c>
      <c r="W38" s="4">
        <v>0</v>
      </c>
      <c r="X38" s="4">
        <v>0</v>
      </c>
      <c r="Z38" s="13">
        <f t="shared" si="10"/>
        <v>2</v>
      </c>
      <c r="AA38" s="13">
        <f t="shared" si="11"/>
        <v>2</v>
      </c>
      <c r="AB38" s="13">
        <f t="shared" si="12"/>
        <v>0</v>
      </c>
      <c r="AC38" s="13">
        <f t="shared" si="13"/>
        <v>3</v>
      </c>
      <c r="AD38" s="13">
        <f t="shared" si="14"/>
        <v>3</v>
      </c>
      <c r="AE38" s="13">
        <f t="shared" si="15"/>
        <v>3</v>
      </c>
      <c r="AF38" s="13">
        <f t="shared" si="16"/>
        <v>3</v>
      </c>
      <c r="AG38" s="13">
        <f t="shared" si="17"/>
        <v>3</v>
      </c>
      <c r="AH38" s="13">
        <f t="shared" si="18"/>
        <v>3</v>
      </c>
      <c r="AI38" s="13">
        <f t="shared" si="19"/>
        <v>3</v>
      </c>
      <c r="AJ38" s="13">
        <f t="shared" si="20"/>
        <v>3</v>
      </c>
      <c r="AL38" s="13">
        <f t="shared" si="21"/>
        <v>3</v>
      </c>
      <c r="AP38" s="13">
        <f t="shared" si="22"/>
        <v>3</v>
      </c>
    </row>
    <row r="39" s="11" customFormat="1" ht="20.1" customHeight="1" spans="1:42">
      <c r="A39" s="4">
        <v>20090</v>
      </c>
      <c r="B39" s="4">
        <v>20100</v>
      </c>
      <c r="C39" s="4">
        <v>0</v>
      </c>
      <c r="D39" s="4">
        <v>0</v>
      </c>
      <c r="E39" s="4">
        <v>0</v>
      </c>
      <c r="F39" s="4">
        <v>0</v>
      </c>
      <c r="G39" s="4">
        <v>0</v>
      </c>
      <c r="H39" s="4">
        <v>0</v>
      </c>
      <c r="I39" s="4">
        <v>0</v>
      </c>
      <c r="J39" s="4" t="s">
        <v>47</v>
      </c>
      <c r="K39" s="4">
        <v>0</v>
      </c>
      <c r="L39" s="4">
        <v>0</v>
      </c>
      <c r="M39" s="4" t="s">
        <v>47</v>
      </c>
      <c r="N39" s="4">
        <v>0</v>
      </c>
      <c r="O39" s="4" t="s">
        <v>47</v>
      </c>
      <c r="P39" s="4">
        <v>0</v>
      </c>
      <c r="Q39" s="4" t="s">
        <v>47</v>
      </c>
      <c r="R39" s="4">
        <v>0</v>
      </c>
      <c r="S39" s="4" t="s">
        <v>47</v>
      </c>
      <c r="T39" s="4">
        <v>0</v>
      </c>
      <c r="U39" s="4">
        <v>0</v>
      </c>
      <c r="V39" s="4">
        <v>0</v>
      </c>
      <c r="W39" s="4">
        <v>0</v>
      </c>
      <c r="X39" s="4">
        <v>0</v>
      </c>
      <c r="Z39" s="13">
        <f t="shared" si="10"/>
        <v>0</v>
      </c>
      <c r="AA39" s="13">
        <f t="shared" si="11"/>
        <v>0</v>
      </c>
      <c r="AB39" s="13">
        <f t="shared" si="12"/>
        <v>0</v>
      </c>
      <c r="AC39" s="13">
        <f t="shared" si="13"/>
        <v>0</v>
      </c>
      <c r="AD39" s="13">
        <f t="shared" si="14"/>
        <v>0</v>
      </c>
      <c r="AE39" s="13">
        <f t="shared" si="15"/>
        <v>0</v>
      </c>
      <c r="AF39" s="13">
        <f t="shared" si="16"/>
        <v>0</v>
      </c>
      <c r="AG39" s="13">
        <f t="shared" si="17"/>
        <v>0</v>
      </c>
      <c r="AH39" s="13">
        <f t="shared" si="18"/>
        <v>0</v>
      </c>
      <c r="AI39" s="13">
        <f t="shared" si="19"/>
        <v>0</v>
      </c>
      <c r="AJ39" s="13">
        <f t="shared" si="20"/>
        <v>0</v>
      </c>
      <c r="AL39" s="13">
        <f t="shared" si="21"/>
        <v>0</v>
      </c>
      <c r="AP39" s="13">
        <f t="shared" si="22"/>
        <v>0</v>
      </c>
    </row>
    <row r="40" s="11" customFormat="1" ht="20.1" customHeight="1" spans="1:42">
      <c r="A40" s="4">
        <v>20100</v>
      </c>
      <c r="B40" s="4">
        <v>20110</v>
      </c>
      <c r="C40" s="4">
        <v>0</v>
      </c>
      <c r="D40" s="4">
        <v>0</v>
      </c>
      <c r="E40" s="4">
        <v>0</v>
      </c>
      <c r="F40" s="4">
        <v>0</v>
      </c>
      <c r="G40" s="4">
        <v>1</v>
      </c>
      <c r="H40" s="4">
        <v>0</v>
      </c>
      <c r="I40" s="4">
        <v>0</v>
      </c>
      <c r="J40" s="4" t="s">
        <v>47</v>
      </c>
      <c r="K40" s="4">
        <v>0</v>
      </c>
      <c r="L40" s="4" t="s">
        <v>192</v>
      </c>
      <c r="M40" s="4" t="s">
        <v>193</v>
      </c>
      <c r="N40" s="4" t="s">
        <v>192</v>
      </c>
      <c r="O40" s="4" t="s">
        <v>193</v>
      </c>
      <c r="P40" s="4" t="s">
        <v>194</v>
      </c>
      <c r="Q40" s="4" t="s">
        <v>195</v>
      </c>
      <c r="R40" s="4" t="s">
        <v>194</v>
      </c>
      <c r="S40" s="4" t="s">
        <v>195</v>
      </c>
      <c r="T40" s="4">
        <v>0</v>
      </c>
      <c r="U40" s="4">
        <v>0</v>
      </c>
      <c r="V40" s="4">
        <v>0</v>
      </c>
      <c r="W40" s="4">
        <v>0</v>
      </c>
      <c r="X40" s="4">
        <v>0</v>
      </c>
      <c r="Z40" s="13">
        <f t="shared" si="10"/>
        <v>0</v>
      </c>
      <c r="AA40" s="13">
        <f t="shared" si="11"/>
        <v>0</v>
      </c>
      <c r="AB40" s="13">
        <f t="shared" si="12"/>
        <v>0</v>
      </c>
      <c r="AC40" s="13">
        <f t="shared" si="13"/>
        <v>2</v>
      </c>
      <c r="AD40" s="13">
        <f t="shared" si="14"/>
        <v>2</v>
      </c>
      <c r="AE40" s="13">
        <f t="shared" si="15"/>
        <v>2</v>
      </c>
      <c r="AF40" s="13">
        <f t="shared" si="16"/>
        <v>2</v>
      </c>
      <c r="AG40" s="13">
        <f t="shared" si="17"/>
        <v>2</v>
      </c>
      <c r="AH40" s="13">
        <f t="shared" si="18"/>
        <v>2</v>
      </c>
      <c r="AI40" s="13">
        <f t="shared" si="19"/>
        <v>2</v>
      </c>
      <c r="AJ40" s="13">
        <f t="shared" si="20"/>
        <v>2</v>
      </c>
      <c r="AL40" s="13">
        <f t="shared" si="21"/>
        <v>2</v>
      </c>
      <c r="AP40" s="13">
        <f t="shared" si="22"/>
        <v>2</v>
      </c>
    </row>
    <row r="41" s="11" customFormat="1" ht="20.1" customHeight="1" spans="1:42">
      <c r="A41" s="4">
        <v>20110</v>
      </c>
      <c r="B41" s="4">
        <v>30010</v>
      </c>
      <c r="C41" s="4">
        <v>0</v>
      </c>
      <c r="D41" s="4">
        <v>0</v>
      </c>
      <c r="E41" s="4">
        <v>0</v>
      </c>
      <c r="F41" s="4">
        <v>0</v>
      </c>
      <c r="G41" s="4">
        <v>1</v>
      </c>
      <c r="H41" s="4">
        <v>1</v>
      </c>
      <c r="I41" s="4" t="s">
        <v>196</v>
      </c>
      <c r="J41" s="4" t="s">
        <v>197</v>
      </c>
      <c r="K41" s="4">
        <v>2</v>
      </c>
      <c r="L41" s="4" t="s">
        <v>198</v>
      </c>
      <c r="M41" s="4" t="s">
        <v>199</v>
      </c>
      <c r="N41" s="4" t="s">
        <v>200</v>
      </c>
      <c r="O41" s="4" t="s">
        <v>201</v>
      </c>
      <c r="P41" s="4" t="s">
        <v>202</v>
      </c>
      <c r="Q41" s="4" t="s">
        <v>203</v>
      </c>
      <c r="R41" s="4" t="s">
        <v>202</v>
      </c>
      <c r="S41" s="4" t="s">
        <v>204</v>
      </c>
      <c r="T41" s="4" t="s">
        <v>205</v>
      </c>
      <c r="U41" s="4" t="s">
        <v>206</v>
      </c>
      <c r="V41" s="4">
        <v>0</v>
      </c>
      <c r="W41" s="4">
        <v>0</v>
      </c>
      <c r="X41" s="4">
        <v>0</v>
      </c>
      <c r="Z41" s="13">
        <f t="shared" si="10"/>
        <v>2</v>
      </c>
      <c r="AA41" s="13">
        <f t="shared" si="11"/>
        <v>2</v>
      </c>
      <c r="AB41" s="13">
        <f t="shared" si="12"/>
        <v>0</v>
      </c>
      <c r="AC41" s="13">
        <f t="shared" si="13"/>
        <v>5</v>
      </c>
      <c r="AD41" s="13">
        <f t="shared" si="14"/>
        <v>5</v>
      </c>
      <c r="AE41" s="13">
        <f t="shared" si="15"/>
        <v>5</v>
      </c>
      <c r="AF41" s="13">
        <f t="shared" si="16"/>
        <v>5</v>
      </c>
      <c r="AG41" s="13">
        <f t="shared" si="17"/>
        <v>5</v>
      </c>
      <c r="AH41" s="13">
        <f t="shared" si="18"/>
        <v>5</v>
      </c>
      <c r="AI41" s="13">
        <f t="shared" si="19"/>
        <v>5</v>
      </c>
      <c r="AJ41" s="13">
        <f t="shared" si="20"/>
        <v>5</v>
      </c>
      <c r="AL41" s="13">
        <f t="shared" si="21"/>
        <v>5</v>
      </c>
      <c r="AP41" s="13">
        <f t="shared" si="22"/>
        <v>5</v>
      </c>
    </row>
    <row r="42" s="13" customFormat="1" ht="20.1" customHeight="1" spans="1:42">
      <c r="A42" s="4">
        <v>30010</v>
      </c>
      <c r="B42" s="4">
        <v>30020</v>
      </c>
      <c r="C42" s="4">
        <v>1</v>
      </c>
      <c r="D42" s="4" t="s">
        <v>207</v>
      </c>
      <c r="E42" s="4">
        <v>2</v>
      </c>
      <c r="F42" s="4">
        <v>0</v>
      </c>
      <c r="G42" s="4">
        <v>0</v>
      </c>
      <c r="H42" s="4">
        <v>0</v>
      </c>
      <c r="I42" s="4">
        <v>0</v>
      </c>
      <c r="J42" s="4" t="s">
        <v>47</v>
      </c>
      <c r="K42" s="4">
        <v>0</v>
      </c>
      <c r="L42" s="4">
        <v>0</v>
      </c>
      <c r="M42" s="4" t="s">
        <v>47</v>
      </c>
      <c r="N42" s="4">
        <v>0</v>
      </c>
      <c r="O42" s="4" t="s">
        <v>47</v>
      </c>
      <c r="P42" s="4">
        <v>0</v>
      </c>
      <c r="Q42" s="4" t="s">
        <v>47</v>
      </c>
      <c r="R42" s="4">
        <v>0</v>
      </c>
      <c r="S42" s="4" t="s">
        <v>47</v>
      </c>
      <c r="T42" s="4">
        <v>0</v>
      </c>
      <c r="U42" s="4">
        <v>0</v>
      </c>
      <c r="V42" s="4">
        <v>0</v>
      </c>
      <c r="W42" s="4">
        <v>0</v>
      </c>
      <c r="X42" s="4">
        <v>0</v>
      </c>
      <c r="Z42" s="13">
        <f t="shared" si="10"/>
        <v>0</v>
      </c>
      <c r="AA42" s="13">
        <f t="shared" si="11"/>
        <v>0</v>
      </c>
      <c r="AB42" s="13">
        <f t="shared" si="12"/>
        <v>0</v>
      </c>
      <c r="AC42" s="13">
        <f t="shared" si="13"/>
        <v>0</v>
      </c>
      <c r="AD42" s="13">
        <f t="shared" si="14"/>
        <v>0</v>
      </c>
      <c r="AE42" s="13">
        <f t="shared" si="15"/>
        <v>0</v>
      </c>
      <c r="AF42" s="13">
        <f t="shared" si="16"/>
        <v>0</v>
      </c>
      <c r="AG42" s="13">
        <f t="shared" si="17"/>
        <v>0</v>
      </c>
      <c r="AH42" s="13">
        <f t="shared" si="18"/>
        <v>0</v>
      </c>
      <c r="AI42" s="13">
        <f t="shared" si="19"/>
        <v>0</v>
      </c>
      <c r="AJ42" s="13">
        <f t="shared" si="20"/>
        <v>0</v>
      </c>
      <c r="AL42" s="13">
        <f t="shared" si="21"/>
        <v>0</v>
      </c>
      <c r="AP42" s="13">
        <f t="shared" si="22"/>
        <v>0</v>
      </c>
    </row>
    <row r="43" s="11" customFormat="1" ht="20.1" customHeight="1" spans="1:42">
      <c r="A43" s="4">
        <v>30020</v>
      </c>
      <c r="B43" s="4">
        <v>30030</v>
      </c>
      <c r="C43" s="4">
        <v>0</v>
      </c>
      <c r="D43" s="4">
        <v>0</v>
      </c>
      <c r="E43" s="4">
        <v>0</v>
      </c>
      <c r="F43" s="4">
        <v>0</v>
      </c>
      <c r="G43" s="4">
        <v>1</v>
      </c>
      <c r="H43" s="4">
        <v>0</v>
      </c>
      <c r="I43" s="4">
        <v>0</v>
      </c>
      <c r="J43" s="4" t="s">
        <v>47</v>
      </c>
      <c r="K43" s="4">
        <v>0</v>
      </c>
      <c r="L43" s="4" t="s">
        <v>208</v>
      </c>
      <c r="M43" s="4" t="s">
        <v>209</v>
      </c>
      <c r="N43" s="4" t="s">
        <v>208</v>
      </c>
      <c r="O43" s="4" t="s">
        <v>210</v>
      </c>
      <c r="P43" s="4" t="s">
        <v>211</v>
      </c>
      <c r="Q43" s="4" t="s">
        <v>212</v>
      </c>
      <c r="R43" s="4" t="s">
        <v>211</v>
      </c>
      <c r="S43" s="4" t="s">
        <v>213</v>
      </c>
      <c r="T43" s="4">
        <v>0</v>
      </c>
      <c r="U43" s="4">
        <v>0</v>
      </c>
      <c r="V43" s="4">
        <v>0</v>
      </c>
      <c r="W43" s="4">
        <v>0</v>
      </c>
      <c r="X43" s="4">
        <v>0</v>
      </c>
      <c r="Z43" s="13">
        <f t="shared" si="10"/>
        <v>0</v>
      </c>
      <c r="AA43" s="13">
        <f t="shared" si="11"/>
        <v>0</v>
      </c>
      <c r="AB43" s="13">
        <f t="shared" si="12"/>
        <v>0</v>
      </c>
      <c r="AC43" s="13">
        <f t="shared" si="13"/>
        <v>4</v>
      </c>
      <c r="AD43" s="13">
        <f t="shared" si="14"/>
        <v>4</v>
      </c>
      <c r="AE43" s="13">
        <f t="shared" si="15"/>
        <v>4</v>
      </c>
      <c r="AF43" s="13">
        <f t="shared" si="16"/>
        <v>4</v>
      </c>
      <c r="AG43" s="13">
        <f t="shared" si="17"/>
        <v>4</v>
      </c>
      <c r="AH43" s="13">
        <f t="shared" si="18"/>
        <v>4</v>
      </c>
      <c r="AI43" s="13">
        <f t="shared" si="19"/>
        <v>4</v>
      </c>
      <c r="AJ43" s="13">
        <f t="shared" si="20"/>
        <v>4</v>
      </c>
      <c r="AL43" s="13">
        <f t="shared" si="21"/>
        <v>4</v>
      </c>
      <c r="AP43" s="13">
        <f t="shared" si="22"/>
        <v>4</v>
      </c>
    </row>
    <row r="44" ht="20.1" customHeight="1" spans="1:42">
      <c r="A44" s="4">
        <v>30030</v>
      </c>
      <c r="B44" s="4">
        <v>30040</v>
      </c>
      <c r="C44" s="4">
        <v>0</v>
      </c>
      <c r="D44" s="4">
        <v>0</v>
      </c>
      <c r="E44" s="4">
        <v>0</v>
      </c>
      <c r="F44" s="4">
        <v>0</v>
      </c>
      <c r="G44" s="4">
        <v>0</v>
      </c>
      <c r="H44" s="4">
        <v>0</v>
      </c>
      <c r="I44" s="4">
        <v>0</v>
      </c>
      <c r="J44" s="4" t="s">
        <v>47</v>
      </c>
      <c r="K44" s="4">
        <v>0</v>
      </c>
      <c r="L44" s="4">
        <v>0</v>
      </c>
      <c r="M44" s="4" t="s">
        <v>47</v>
      </c>
      <c r="N44" s="4">
        <v>0</v>
      </c>
      <c r="O44" s="4" t="s">
        <v>47</v>
      </c>
      <c r="P44" s="4">
        <v>0</v>
      </c>
      <c r="Q44" s="4" t="s">
        <v>47</v>
      </c>
      <c r="R44" s="4">
        <v>0</v>
      </c>
      <c r="S44" s="4" t="s">
        <v>47</v>
      </c>
      <c r="T44" s="4">
        <v>0</v>
      </c>
      <c r="U44" s="4">
        <v>0</v>
      </c>
      <c r="V44" s="4">
        <v>0</v>
      </c>
      <c r="W44" s="4">
        <v>0</v>
      </c>
      <c r="X44" s="4">
        <v>0</v>
      </c>
      <c r="Z44" s="13">
        <f t="shared" si="10"/>
        <v>0</v>
      </c>
      <c r="AA44" s="13">
        <f t="shared" si="11"/>
        <v>0</v>
      </c>
      <c r="AB44" s="13">
        <f t="shared" si="12"/>
        <v>0</v>
      </c>
      <c r="AC44" s="13">
        <f t="shared" si="13"/>
        <v>0</v>
      </c>
      <c r="AD44" s="13">
        <f t="shared" si="14"/>
        <v>0</v>
      </c>
      <c r="AE44" s="13">
        <f t="shared" si="15"/>
        <v>0</v>
      </c>
      <c r="AF44" s="13">
        <f t="shared" si="16"/>
        <v>0</v>
      </c>
      <c r="AG44" s="13">
        <f t="shared" si="17"/>
        <v>0</v>
      </c>
      <c r="AH44" s="13">
        <f t="shared" si="18"/>
        <v>0</v>
      </c>
      <c r="AI44" s="13">
        <f t="shared" si="19"/>
        <v>0</v>
      </c>
      <c r="AJ44" s="13">
        <f t="shared" si="20"/>
        <v>0</v>
      </c>
      <c r="AL44" s="13">
        <f t="shared" si="21"/>
        <v>0</v>
      </c>
      <c r="AP44" s="13">
        <f t="shared" si="22"/>
        <v>0</v>
      </c>
    </row>
    <row r="45" ht="20.1" customHeight="1" spans="1:42">
      <c r="A45" s="4">
        <v>30040</v>
      </c>
      <c r="B45" s="4">
        <v>30050</v>
      </c>
      <c r="C45" s="4">
        <v>0</v>
      </c>
      <c r="D45" s="4">
        <v>0</v>
      </c>
      <c r="E45" s="4">
        <v>0</v>
      </c>
      <c r="F45" s="4">
        <v>0</v>
      </c>
      <c r="G45" s="4">
        <v>1</v>
      </c>
      <c r="H45" s="4">
        <v>1</v>
      </c>
      <c r="I45" s="4" t="s">
        <v>214</v>
      </c>
      <c r="J45" s="4" t="s">
        <v>215</v>
      </c>
      <c r="K45" s="4">
        <v>2</v>
      </c>
      <c r="L45" s="4" t="s">
        <v>216</v>
      </c>
      <c r="M45" s="4" t="s">
        <v>217</v>
      </c>
      <c r="N45" s="4" t="s">
        <v>218</v>
      </c>
      <c r="O45" s="4" t="s">
        <v>219</v>
      </c>
      <c r="P45" s="4" t="s">
        <v>220</v>
      </c>
      <c r="Q45" s="4" t="s">
        <v>221</v>
      </c>
      <c r="R45" s="4" t="s">
        <v>220</v>
      </c>
      <c r="S45" s="4" t="s">
        <v>222</v>
      </c>
      <c r="T45" s="4" t="s">
        <v>223</v>
      </c>
      <c r="U45" s="4">
        <v>0</v>
      </c>
      <c r="V45" s="4">
        <v>0</v>
      </c>
      <c r="W45" s="4">
        <v>0</v>
      </c>
      <c r="X45" s="4">
        <v>0</v>
      </c>
      <c r="Z45" s="13">
        <f t="shared" si="10"/>
        <v>2</v>
      </c>
      <c r="AA45" s="13">
        <f t="shared" si="11"/>
        <v>2</v>
      </c>
      <c r="AB45" s="13">
        <f t="shared" si="12"/>
        <v>0</v>
      </c>
      <c r="AC45" s="13">
        <f t="shared" si="13"/>
        <v>2</v>
      </c>
      <c r="AD45" s="13">
        <f t="shared" si="14"/>
        <v>2</v>
      </c>
      <c r="AE45" s="13">
        <f t="shared" si="15"/>
        <v>2</v>
      </c>
      <c r="AF45" s="13">
        <f t="shared" si="16"/>
        <v>2</v>
      </c>
      <c r="AG45" s="13">
        <f t="shared" si="17"/>
        <v>2</v>
      </c>
      <c r="AH45" s="13">
        <f t="shared" si="18"/>
        <v>2</v>
      </c>
      <c r="AI45" s="13">
        <f t="shared" si="19"/>
        <v>2</v>
      </c>
      <c r="AJ45" s="13">
        <f t="shared" si="20"/>
        <v>2</v>
      </c>
      <c r="AL45" s="13">
        <f t="shared" si="21"/>
        <v>2</v>
      </c>
      <c r="AP45" s="13">
        <f t="shared" si="22"/>
        <v>2</v>
      </c>
    </row>
    <row r="46" ht="20.1" customHeight="1" spans="1:42">
      <c r="A46" s="4">
        <v>30050</v>
      </c>
      <c r="B46" s="4">
        <v>30060</v>
      </c>
      <c r="C46" s="4">
        <v>0</v>
      </c>
      <c r="D46" s="4">
        <v>0</v>
      </c>
      <c r="E46" s="4">
        <v>0</v>
      </c>
      <c r="F46" s="4">
        <v>0</v>
      </c>
      <c r="G46" s="4">
        <v>0</v>
      </c>
      <c r="H46" s="4">
        <v>0</v>
      </c>
      <c r="I46" s="4">
        <v>0</v>
      </c>
      <c r="J46" s="4" t="s">
        <v>47</v>
      </c>
      <c r="K46" s="4">
        <v>0</v>
      </c>
      <c r="L46" s="4">
        <v>0</v>
      </c>
      <c r="M46" s="4" t="s">
        <v>47</v>
      </c>
      <c r="N46" s="4">
        <v>0</v>
      </c>
      <c r="O46" s="4" t="s">
        <v>47</v>
      </c>
      <c r="P46" s="4">
        <v>0</v>
      </c>
      <c r="Q46" s="4" t="s">
        <v>47</v>
      </c>
      <c r="R46" s="4">
        <v>0</v>
      </c>
      <c r="S46" s="4" t="s">
        <v>47</v>
      </c>
      <c r="T46" s="4">
        <v>0</v>
      </c>
      <c r="U46" s="4">
        <v>0</v>
      </c>
      <c r="V46" s="4">
        <v>0</v>
      </c>
      <c r="W46" s="4">
        <v>0</v>
      </c>
      <c r="X46" s="4">
        <v>0</v>
      </c>
      <c r="Z46" s="13">
        <f t="shared" si="10"/>
        <v>0</v>
      </c>
      <c r="AA46" s="13">
        <f t="shared" si="11"/>
        <v>0</v>
      </c>
      <c r="AB46" s="13">
        <f t="shared" si="12"/>
        <v>0</v>
      </c>
      <c r="AC46" s="13">
        <f t="shared" si="13"/>
        <v>0</v>
      </c>
      <c r="AD46" s="13">
        <f t="shared" si="14"/>
        <v>0</v>
      </c>
      <c r="AE46" s="13">
        <f t="shared" si="15"/>
        <v>0</v>
      </c>
      <c r="AF46" s="13">
        <f t="shared" si="16"/>
        <v>0</v>
      </c>
      <c r="AG46" s="13">
        <f t="shared" si="17"/>
        <v>0</v>
      </c>
      <c r="AH46" s="13">
        <f t="shared" si="18"/>
        <v>0</v>
      </c>
      <c r="AI46" s="13">
        <f t="shared" si="19"/>
        <v>0</v>
      </c>
      <c r="AJ46" s="13">
        <f t="shared" si="20"/>
        <v>0</v>
      </c>
      <c r="AL46" s="13">
        <f t="shared" si="21"/>
        <v>0</v>
      </c>
      <c r="AP46" s="13">
        <f t="shared" si="22"/>
        <v>0</v>
      </c>
    </row>
    <row r="47" ht="20.1" customHeight="1" spans="1:42">
      <c r="A47" s="4">
        <v>30060</v>
      </c>
      <c r="B47" s="4">
        <v>30070</v>
      </c>
      <c r="C47" s="4">
        <v>0</v>
      </c>
      <c r="D47" s="4">
        <v>0</v>
      </c>
      <c r="E47" s="4">
        <v>0</v>
      </c>
      <c r="F47" s="4">
        <v>0</v>
      </c>
      <c r="G47" s="4">
        <v>1</v>
      </c>
      <c r="H47" s="4">
        <v>1</v>
      </c>
      <c r="I47" s="4" t="s">
        <v>224</v>
      </c>
      <c r="J47" s="4" t="s">
        <v>225</v>
      </c>
      <c r="K47" s="4">
        <v>4</v>
      </c>
      <c r="L47" s="4" t="s">
        <v>226</v>
      </c>
      <c r="M47" s="4" t="s">
        <v>227</v>
      </c>
      <c r="N47" s="4" t="s">
        <v>228</v>
      </c>
      <c r="O47" s="4" t="s">
        <v>229</v>
      </c>
      <c r="P47" s="4" t="s">
        <v>230</v>
      </c>
      <c r="Q47" s="4" t="s">
        <v>231</v>
      </c>
      <c r="R47" s="4" t="s">
        <v>230</v>
      </c>
      <c r="S47" s="4" t="s">
        <v>232</v>
      </c>
      <c r="T47" s="4" t="s">
        <v>233</v>
      </c>
      <c r="U47" s="4">
        <v>0</v>
      </c>
      <c r="V47" s="4">
        <v>0</v>
      </c>
      <c r="W47" s="4">
        <v>0</v>
      </c>
      <c r="X47" s="4">
        <v>0</v>
      </c>
      <c r="Z47" s="13">
        <f t="shared" si="10"/>
        <v>2</v>
      </c>
      <c r="AA47" s="13">
        <f t="shared" si="11"/>
        <v>2</v>
      </c>
      <c r="AB47" s="13">
        <f t="shared" si="12"/>
        <v>0</v>
      </c>
      <c r="AC47" s="13">
        <f t="shared" si="13"/>
        <v>4</v>
      </c>
      <c r="AD47" s="13">
        <f t="shared" si="14"/>
        <v>4</v>
      </c>
      <c r="AE47" s="13">
        <f t="shared" si="15"/>
        <v>4</v>
      </c>
      <c r="AF47" s="13">
        <f t="shared" si="16"/>
        <v>4</v>
      </c>
      <c r="AG47" s="13">
        <f t="shared" si="17"/>
        <v>4</v>
      </c>
      <c r="AH47" s="13">
        <f t="shared" si="18"/>
        <v>4</v>
      </c>
      <c r="AI47" s="13">
        <f t="shared" si="19"/>
        <v>4</v>
      </c>
      <c r="AJ47" s="13">
        <f t="shared" si="20"/>
        <v>4</v>
      </c>
      <c r="AL47" s="13">
        <f t="shared" si="21"/>
        <v>4</v>
      </c>
      <c r="AP47" s="13">
        <f t="shared" si="22"/>
        <v>4</v>
      </c>
    </row>
    <row r="48" ht="20.1" customHeight="1" spans="1:42">
      <c r="A48" s="4">
        <v>30070</v>
      </c>
      <c r="B48" s="4">
        <v>30080</v>
      </c>
      <c r="C48" s="4">
        <v>0</v>
      </c>
      <c r="D48" s="4">
        <v>0</v>
      </c>
      <c r="E48" s="4">
        <v>0</v>
      </c>
      <c r="F48" s="4">
        <v>0</v>
      </c>
      <c r="G48" s="4">
        <v>0</v>
      </c>
      <c r="H48" s="4">
        <v>0</v>
      </c>
      <c r="I48" s="4">
        <v>0</v>
      </c>
      <c r="J48" s="4" t="s">
        <v>47</v>
      </c>
      <c r="K48" s="4">
        <v>0</v>
      </c>
      <c r="L48" s="4">
        <v>0</v>
      </c>
      <c r="M48" s="4" t="s">
        <v>47</v>
      </c>
      <c r="N48" s="4">
        <v>0</v>
      </c>
      <c r="O48" s="4" t="s">
        <v>47</v>
      </c>
      <c r="P48" s="4">
        <v>0</v>
      </c>
      <c r="Q48" s="4" t="s">
        <v>47</v>
      </c>
      <c r="R48" s="4">
        <v>0</v>
      </c>
      <c r="S48" s="4" t="s">
        <v>47</v>
      </c>
      <c r="T48" s="4">
        <v>0</v>
      </c>
      <c r="U48" s="4">
        <v>0</v>
      </c>
      <c r="V48" s="4">
        <v>0</v>
      </c>
      <c r="W48" s="4">
        <v>0</v>
      </c>
      <c r="X48" s="4">
        <v>0</v>
      </c>
      <c r="Z48" s="13">
        <f t="shared" si="10"/>
        <v>0</v>
      </c>
      <c r="AA48" s="13">
        <f t="shared" si="11"/>
        <v>0</v>
      </c>
      <c r="AB48" s="13">
        <f t="shared" si="12"/>
        <v>0</v>
      </c>
      <c r="AC48" s="13">
        <f t="shared" si="13"/>
        <v>0</v>
      </c>
      <c r="AD48" s="13">
        <f t="shared" si="14"/>
        <v>0</v>
      </c>
      <c r="AE48" s="13">
        <f t="shared" si="15"/>
        <v>0</v>
      </c>
      <c r="AF48" s="13">
        <f t="shared" si="16"/>
        <v>0</v>
      </c>
      <c r="AG48" s="13">
        <f t="shared" si="17"/>
        <v>0</v>
      </c>
      <c r="AH48" s="13">
        <f t="shared" si="18"/>
        <v>0</v>
      </c>
      <c r="AI48" s="13">
        <f t="shared" si="19"/>
        <v>0</v>
      </c>
      <c r="AJ48" s="13">
        <f t="shared" si="20"/>
        <v>0</v>
      </c>
      <c r="AL48" s="13">
        <f t="shared" si="21"/>
        <v>0</v>
      </c>
      <c r="AP48" s="13">
        <f t="shared" si="22"/>
        <v>0</v>
      </c>
    </row>
    <row r="49" ht="20.1" customHeight="1" spans="1:42">
      <c r="A49" s="4">
        <v>30080</v>
      </c>
      <c r="B49" s="4">
        <v>30090</v>
      </c>
      <c r="C49" s="4">
        <v>0</v>
      </c>
      <c r="D49" s="4">
        <v>0</v>
      </c>
      <c r="E49" s="4">
        <v>0</v>
      </c>
      <c r="F49" s="4">
        <v>0</v>
      </c>
      <c r="G49" s="4">
        <v>1</v>
      </c>
      <c r="H49" s="4">
        <v>1</v>
      </c>
      <c r="I49" s="4" t="s">
        <v>234</v>
      </c>
      <c r="J49" s="4" t="s">
        <v>235</v>
      </c>
      <c r="K49" s="4">
        <v>4</v>
      </c>
      <c r="L49" s="4" t="s">
        <v>236</v>
      </c>
      <c r="M49" s="4" t="s">
        <v>237</v>
      </c>
      <c r="N49" s="4" t="s">
        <v>238</v>
      </c>
      <c r="O49" s="4" t="s">
        <v>239</v>
      </c>
      <c r="P49" s="4" t="s">
        <v>240</v>
      </c>
      <c r="Q49" s="4" t="s">
        <v>241</v>
      </c>
      <c r="R49" s="4" t="s">
        <v>240</v>
      </c>
      <c r="S49" s="4" t="s">
        <v>242</v>
      </c>
      <c r="T49" s="4">
        <v>0</v>
      </c>
      <c r="U49" s="4" t="s">
        <v>243</v>
      </c>
      <c r="V49" s="4">
        <v>0</v>
      </c>
      <c r="W49" s="4">
        <v>0</v>
      </c>
      <c r="X49" s="4">
        <v>0</v>
      </c>
      <c r="Z49" s="13">
        <f t="shared" si="10"/>
        <v>2</v>
      </c>
      <c r="AA49" s="13">
        <f t="shared" si="11"/>
        <v>2</v>
      </c>
      <c r="AB49" s="13">
        <f t="shared" si="12"/>
        <v>0</v>
      </c>
      <c r="AC49" s="13">
        <f t="shared" si="13"/>
        <v>4</v>
      </c>
      <c r="AD49" s="13">
        <f t="shared" si="14"/>
        <v>4</v>
      </c>
      <c r="AE49" s="13">
        <f t="shared" si="15"/>
        <v>4</v>
      </c>
      <c r="AF49" s="13">
        <f t="shared" si="16"/>
        <v>4</v>
      </c>
      <c r="AG49" s="13">
        <f t="shared" si="17"/>
        <v>4</v>
      </c>
      <c r="AH49" s="13">
        <f t="shared" si="18"/>
        <v>4</v>
      </c>
      <c r="AI49" s="13">
        <f t="shared" si="19"/>
        <v>4</v>
      </c>
      <c r="AJ49" s="13">
        <f t="shared" si="20"/>
        <v>4</v>
      </c>
      <c r="AL49" s="13">
        <f t="shared" si="21"/>
        <v>4</v>
      </c>
      <c r="AP49" s="13">
        <f t="shared" si="22"/>
        <v>4</v>
      </c>
    </row>
    <row r="50" ht="20.1" customHeight="1" spans="1:42">
      <c r="A50" s="4">
        <v>30090</v>
      </c>
      <c r="B50" s="4">
        <v>30100</v>
      </c>
      <c r="C50" s="4">
        <v>0</v>
      </c>
      <c r="D50" s="4">
        <v>0</v>
      </c>
      <c r="E50" s="4">
        <v>0</v>
      </c>
      <c r="F50" s="4">
        <v>0</v>
      </c>
      <c r="G50" s="4">
        <v>0</v>
      </c>
      <c r="H50" s="4">
        <v>0</v>
      </c>
      <c r="I50" s="4">
        <v>0</v>
      </c>
      <c r="J50" s="4" t="s">
        <v>47</v>
      </c>
      <c r="K50" s="4">
        <v>0</v>
      </c>
      <c r="L50" s="4">
        <v>0</v>
      </c>
      <c r="M50" s="4" t="s">
        <v>47</v>
      </c>
      <c r="N50" s="4">
        <v>0</v>
      </c>
      <c r="O50" s="4" t="s">
        <v>47</v>
      </c>
      <c r="P50" s="4">
        <v>0</v>
      </c>
      <c r="Q50" s="4" t="s">
        <v>47</v>
      </c>
      <c r="R50" s="4">
        <v>0</v>
      </c>
      <c r="S50" s="4" t="s">
        <v>47</v>
      </c>
      <c r="T50" s="4">
        <v>0</v>
      </c>
      <c r="U50" s="4">
        <v>0</v>
      </c>
      <c r="V50" s="4">
        <v>0</v>
      </c>
      <c r="W50" s="4">
        <v>0</v>
      </c>
      <c r="X50" s="4">
        <v>0</v>
      </c>
      <c r="Z50" s="13">
        <f t="shared" si="10"/>
        <v>0</v>
      </c>
      <c r="AA50" s="13">
        <f t="shared" si="11"/>
        <v>0</v>
      </c>
      <c r="AB50" s="13">
        <f t="shared" si="12"/>
        <v>0</v>
      </c>
      <c r="AC50" s="13">
        <f t="shared" si="13"/>
        <v>0</v>
      </c>
      <c r="AD50" s="13">
        <f t="shared" si="14"/>
        <v>0</v>
      </c>
      <c r="AE50" s="13">
        <f t="shared" si="15"/>
        <v>0</v>
      </c>
      <c r="AF50" s="13">
        <f t="shared" si="16"/>
        <v>0</v>
      </c>
      <c r="AG50" s="13">
        <f t="shared" si="17"/>
        <v>0</v>
      </c>
      <c r="AH50" s="13">
        <f t="shared" si="18"/>
        <v>0</v>
      </c>
      <c r="AI50" s="13">
        <f t="shared" si="19"/>
        <v>0</v>
      </c>
      <c r="AJ50" s="13">
        <f t="shared" si="20"/>
        <v>0</v>
      </c>
      <c r="AL50" s="13">
        <f t="shared" si="21"/>
        <v>0</v>
      </c>
      <c r="AP50" s="13">
        <f t="shared" si="22"/>
        <v>0</v>
      </c>
    </row>
    <row r="51" ht="20.1" customHeight="1" spans="1:42">
      <c r="A51" s="4">
        <v>30100</v>
      </c>
      <c r="B51" s="4">
        <v>30110</v>
      </c>
      <c r="C51" s="4">
        <v>0</v>
      </c>
      <c r="D51" s="4">
        <v>0</v>
      </c>
      <c r="E51" s="4">
        <v>0</v>
      </c>
      <c r="F51" s="4">
        <v>0</v>
      </c>
      <c r="G51" s="4">
        <v>1</v>
      </c>
      <c r="H51" s="4">
        <v>1</v>
      </c>
      <c r="I51" s="4" t="s">
        <v>244</v>
      </c>
      <c r="J51" s="4" t="s">
        <v>245</v>
      </c>
      <c r="K51" s="4">
        <v>1</v>
      </c>
      <c r="L51" s="4" t="s">
        <v>246</v>
      </c>
      <c r="M51" s="4" t="s">
        <v>247</v>
      </c>
      <c r="N51" s="4" t="s">
        <v>248</v>
      </c>
      <c r="O51" s="4" t="s">
        <v>249</v>
      </c>
      <c r="P51" s="4" t="s">
        <v>133</v>
      </c>
      <c r="Q51" s="4" t="s">
        <v>133</v>
      </c>
      <c r="R51" s="4" t="s">
        <v>133</v>
      </c>
      <c r="S51" s="4" t="s">
        <v>133</v>
      </c>
      <c r="T51" s="4" t="s">
        <v>250</v>
      </c>
      <c r="U51" s="4">
        <v>0</v>
      </c>
      <c r="V51" s="4">
        <v>0</v>
      </c>
      <c r="W51" s="4">
        <v>0</v>
      </c>
      <c r="X51" s="4">
        <v>0</v>
      </c>
      <c r="Z51" s="13">
        <f t="shared" si="10"/>
        <v>2</v>
      </c>
      <c r="AA51" s="13">
        <f t="shared" si="11"/>
        <v>2</v>
      </c>
      <c r="AB51" s="13">
        <f t="shared" si="12"/>
        <v>0</v>
      </c>
      <c r="AC51" s="13">
        <f t="shared" si="13"/>
        <v>2</v>
      </c>
      <c r="AD51" s="13">
        <f t="shared" si="14"/>
        <v>2</v>
      </c>
      <c r="AE51" s="13">
        <f t="shared" si="15"/>
        <v>2</v>
      </c>
      <c r="AF51" s="13">
        <f t="shared" si="16"/>
        <v>2</v>
      </c>
      <c r="AG51" s="13">
        <f t="shared" si="17"/>
        <v>2</v>
      </c>
      <c r="AH51" s="13">
        <f t="shared" si="18"/>
        <v>2</v>
      </c>
      <c r="AI51" s="13">
        <f t="shared" si="19"/>
        <v>2</v>
      </c>
      <c r="AJ51" s="13">
        <f t="shared" si="20"/>
        <v>2</v>
      </c>
      <c r="AL51" s="13">
        <f t="shared" si="21"/>
        <v>2</v>
      </c>
      <c r="AP51" s="13">
        <f t="shared" si="22"/>
        <v>2</v>
      </c>
    </row>
    <row r="52" s="11" customFormat="1" ht="20.1" customHeight="1" spans="1:42">
      <c r="A52" s="4">
        <v>30110</v>
      </c>
      <c r="B52" s="4">
        <v>40010</v>
      </c>
      <c r="C52" s="4">
        <v>0</v>
      </c>
      <c r="D52" s="4">
        <v>0</v>
      </c>
      <c r="E52" s="4">
        <v>0</v>
      </c>
      <c r="F52" s="4">
        <v>0</v>
      </c>
      <c r="G52" s="4">
        <v>1</v>
      </c>
      <c r="H52" s="4">
        <v>1</v>
      </c>
      <c r="I52" s="4" t="s">
        <v>251</v>
      </c>
      <c r="J52" s="4" t="s">
        <v>252</v>
      </c>
      <c r="K52" s="4">
        <v>3</v>
      </c>
      <c r="L52" s="4" t="s">
        <v>253</v>
      </c>
      <c r="M52" s="4" t="s">
        <v>254</v>
      </c>
      <c r="N52" s="4" t="s">
        <v>255</v>
      </c>
      <c r="O52" s="4" t="s">
        <v>256</v>
      </c>
      <c r="P52" s="4" t="s">
        <v>257</v>
      </c>
      <c r="Q52" s="4" t="s">
        <v>258</v>
      </c>
      <c r="R52" s="4" t="s">
        <v>257</v>
      </c>
      <c r="S52" s="4" t="s">
        <v>259</v>
      </c>
      <c r="T52" s="4" t="s">
        <v>260</v>
      </c>
      <c r="U52" s="4">
        <v>0</v>
      </c>
      <c r="V52" s="4">
        <v>0</v>
      </c>
      <c r="W52" s="4">
        <v>0</v>
      </c>
      <c r="X52" s="4">
        <v>0</v>
      </c>
      <c r="Z52" s="13">
        <f t="shared" si="10"/>
        <v>2</v>
      </c>
      <c r="AA52" s="13">
        <f t="shared" si="11"/>
        <v>2</v>
      </c>
      <c r="AB52" s="13">
        <f t="shared" si="12"/>
        <v>0</v>
      </c>
      <c r="AC52" s="13">
        <f t="shared" si="13"/>
        <v>3</v>
      </c>
      <c r="AD52" s="13">
        <f t="shared" si="14"/>
        <v>3</v>
      </c>
      <c r="AE52" s="13">
        <f t="shared" si="15"/>
        <v>3</v>
      </c>
      <c r="AF52" s="13">
        <f t="shared" si="16"/>
        <v>3</v>
      </c>
      <c r="AG52" s="13">
        <f t="shared" si="17"/>
        <v>3</v>
      </c>
      <c r="AH52" s="13">
        <f t="shared" si="18"/>
        <v>3</v>
      </c>
      <c r="AI52" s="13">
        <f t="shared" si="19"/>
        <v>3</v>
      </c>
      <c r="AJ52" s="13">
        <f t="shared" si="20"/>
        <v>3</v>
      </c>
      <c r="AL52" s="13">
        <f t="shared" si="21"/>
        <v>3</v>
      </c>
      <c r="AP52" s="13">
        <f t="shared" si="22"/>
        <v>3</v>
      </c>
    </row>
    <row r="53" s="13" customFormat="1" ht="20.1" customHeight="1" spans="1:42">
      <c r="A53" s="4">
        <v>40010</v>
      </c>
      <c r="B53" s="4">
        <v>40020</v>
      </c>
      <c r="C53" s="4">
        <v>1</v>
      </c>
      <c r="D53" s="4" t="s">
        <v>261</v>
      </c>
      <c r="E53" s="4">
        <v>2</v>
      </c>
      <c r="F53" s="4">
        <v>0</v>
      </c>
      <c r="G53" s="4">
        <v>0</v>
      </c>
      <c r="H53" s="4">
        <v>0</v>
      </c>
      <c r="I53" s="4">
        <v>0</v>
      </c>
      <c r="J53" s="4" t="s">
        <v>47</v>
      </c>
      <c r="K53" s="4">
        <v>0</v>
      </c>
      <c r="L53" s="4">
        <v>0</v>
      </c>
      <c r="M53" s="4" t="s">
        <v>47</v>
      </c>
      <c r="N53" s="4">
        <v>0</v>
      </c>
      <c r="O53" s="4" t="s">
        <v>47</v>
      </c>
      <c r="P53" s="4">
        <v>0</v>
      </c>
      <c r="Q53" s="4" t="s">
        <v>47</v>
      </c>
      <c r="R53" s="4">
        <v>0</v>
      </c>
      <c r="S53" s="4" t="s">
        <v>47</v>
      </c>
      <c r="T53" s="4">
        <v>0</v>
      </c>
      <c r="U53" s="4">
        <v>0</v>
      </c>
      <c r="V53" s="4">
        <v>0</v>
      </c>
      <c r="W53" s="4">
        <v>0</v>
      </c>
      <c r="X53" s="4">
        <v>0</v>
      </c>
      <c r="Z53" s="13">
        <f t="shared" si="10"/>
        <v>0</v>
      </c>
      <c r="AA53" s="13">
        <f t="shared" si="11"/>
        <v>0</v>
      </c>
      <c r="AB53" s="13">
        <f t="shared" si="12"/>
        <v>0</v>
      </c>
      <c r="AC53" s="13">
        <f t="shared" si="13"/>
        <v>0</v>
      </c>
      <c r="AD53" s="13">
        <f t="shared" si="14"/>
        <v>0</v>
      </c>
      <c r="AE53" s="13">
        <f t="shared" si="15"/>
        <v>0</v>
      </c>
      <c r="AF53" s="13">
        <f t="shared" si="16"/>
        <v>0</v>
      </c>
      <c r="AG53" s="13">
        <f t="shared" si="17"/>
        <v>0</v>
      </c>
      <c r="AH53" s="13">
        <f t="shared" si="18"/>
        <v>0</v>
      </c>
      <c r="AI53" s="13">
        <f t="shared" si="19"/>
        <v>0</v>
      </c>
      <c r="AJ53" s="13">
        <f t="shared" si="20"/>
        <v>0</v>
      </c>
      <c r="AL53" s="13">
        <f t="shared" si="21"/>
        <v>0</v>
      </c>
      <c r="AP53" s="13">
        <f t="shared" si="22"/>
        <v>0</v>
      </c>
    </row>
    <row r="54" ht="20.1" customHeight="1" spans="1:42">
      <c r="A54" s="4">
        <v>40020</v>
      </c>
      <c r="B54" s="4">
        <v>40030</v>
      </c>
      <c r="C54" s="4">
        <v>0</v>
      </c>
      <c r="D54" s="4">
        <v>0</v>
      </c>
      <c r="E54" s="4">
        <v>0</v>
      </c>
      <c r="F54" s="4">
        <v>0</v>
      </c>
      <c r="G54" s="4">
        <v>1</v>
      </c>
      <c r="H54" s="4">
        <v>1</v>
      </c>
      <c r="I54" s="4" t="s">
        <v>262</v>
      </c>
      <c r="J54" s="4" t="s">
        <v>263</v>
      </c>
      <c r="K54" s="4">
        <v>2</v>
      </c>
      <c r="L54" s="4" t="s">
        <v>264</v>
      </c>
      <c r="M54" s="4" t="s">
        <v>265</v>
      </c>
      <c r="N54" s="4" t="s">
        <v>266</v>
      </c>
      <c r="O54" s="4" t="s">
        <v>267</v>
      </c>
      <c r="P54" s="4" t="s">
        <v>268</v>
      </c>
      <c r="Q54" s="4" t="s">
        <v>269</v>
      </c>
      <c r="R54" s="4" t="s">
        <v>268</v>
      </c>
      <c r="S54" s="4" t="s">
        <v>270</v>
      </c>
      <c r="T54" s="4">
        <v>0</v>
      </c>
      <c r="U54" s="4" t="s">
        <v>271</v>
      </c>
      <c r="V54" s="4">
        <v>0</v>
      </c>
      <c r="W54" s="4">
        <v>0</v>
      </c>
      <c r="X54" s="4">
        <v>0</v>
      </c>
      <c r="Z54" s="13">
        <f t="shared" si="10"/>
        <v>2</v>
      </c>
      <c r="AA54" s="13">
        <f t="shared" si="11"/>
        <v>2</v>
      </c>
      <c r="AB54" s="13">
        <f t="shared" si="12"/>
        <v>0</v>
      </c>
      <c r="AC54" s="13">
        <f t="shared" si="13"/>
        <v>3</v>
      </c>
      <c r="AD54" s="13">
        <f t="shared" si="14"/>
        <v>3</v>
      </c>
      <c r="AE54" s="13">
        <f t="shared" si="15"/>
        <v>3</v>
      </c>
      <c r="AF54" s="13">
        <f t="shared" si="16"/>
        <v>3</v>
      </c>
      <c r="AG54" s="13">
        <f t="shared" si="17"/>
        <v>3</v>
      </c>
      <c r="AH54" s="13">
        <f t="shared" si="18"/>
        <v>3</v>
      </c>
      <c r="AI54" s="13">
        <f t="shared" si="19"/>
        <v>3</v>
      </c>
      <c r="AJ54" s="13">
        <f t="shared" si="20"/>
        <v>3</v>
      </c>
      <c r="AL54" s="13">
        <f t="shared" si="21"/>
        <v>3</v>
      </c>
      <c r="AP54" s="13">
        <f t="shared" si="22"/>
        <v>3</v>
      </c>
    </row>
    <row r="55" ht="20.1" customHeight="1" spans="1:42">
      <c r="A55" s="4">
        <v>40030</v>
      </c>
      <c r="B55" s="4">
        <v>40040</v>
      </c>
      <c r="C55" s="4">
        <v>0</v>
      </c>
      <c r="D55" s="4">
        <v>0</v>
      </c>
      <c r="E55" s="4">
        <v>0</v>
      </c>
      <c r="F55" s="4">
        <v>0</v>
      </c>
      <c r="G55" s="4">
        <v>0</v>
      </c>
      <c r="H55" s="4">
        <v>0</v>
      </c>
      <c r="I55" s="4">
        <v>0</v>
      </c>
      <c r="J55" s="4" t="s">
        <v>47</v>
      </c>
      <c r="K55" s="4">
        <v>0</v>
      </c>
      <c r="L55" s="4">
        <v>0</v>
      </c>
      <c r="M55" s="4" t="s">
        <v>47</v>
      </c>
      <c r="N55" s="4">
        <v>0</v>
      </c>
      <c r="O55" s="4" t="s">
        <v>47</v>
      </c>
      <c r="P55" s="4">
        <v>0</v>
      </c>
      <c r="Q55" s="4" t="s">
        <v>47</v>
      </c>
      <c r="R55" s="4">
        <v>0</v>
      </c>
      <c r="S55" s="4" t="s">
        <v>47</v>
      </c>
      <c r="T55" s="4">
        <v>0</v>
      </c>
      <c r="U55" s="4">
        <v>0</v>
      </c>
      <c r="V55" s="4">
        <v>0</v>
      </c>
      <c r="W55" s="4">
        <v>0</v>
      </c>
      <c r="X55" s="4">
        <v>0</v>
      </c>
      <c r="Z55" s="13">
        <f t="shared" si="10"/>
        <v>0</v>
      </c>
      <c r="AA55" s="13">
        <f t="shared" si="11"/>
        <v>0</v>
      </c>
      <c r="AB55" s="13">
        <f t="shared" si="12"/>
        <v>0</v>
      </c>
      <c r="AC55" s="13">
        <f t="shared" si="13"/>
        <v>0</v>
      </c>
      <c r="AD55" s="13">
        <f t="shared" si="14"/>
        <v>0</v>
      </c>
      <c r="AE55" s="13">
        <f t="shared" si="15"/>
        <v>0</v>
      </c>
      <c r="AF55" s="13">
        <f t="shared" si="16"/>
        <v>0</v>
      </c>
      <c r="AG55" s="13">
        <f t="shared" si="17"/>
        <v>0</v>
      </c>
      <c r="AH55" s="13">
        <f t="shared" si="18"/>
        <v>0</v>
      </c>
      <c r="AI55" s="13">
        <f t="shared" si="19"/>
        <v>0</v>
      </c>
      <c r="AJ55" s="13">
        <f t="shared" si="20"/>
        <v>0</v>
      </c>
      <c r="AL55" s="13">
        <f t="shared" si="21"/>
        <v>0</v>
      </c>
      <c r="AP55" s="13">
        <f t="shared" si="22"/>
        <v>0</v>
      </c>
    </row>
    <row r="56" ht="20.1" customHeight="1" spans="1:42">
      <c r="A56" s="4">
        <v>40040</v>
      </c>
      <c r="B56" s="4">
        <v>40050</v>
      </c>
      <c r="C56" s="4">
        <v>0</v>
      </c>
      <c r="D56" s="4">
        <v>0</v>
      </c>
      <c r="E56" s="4">
        <v>0</v>
      </c>
      <c r="F56" s="4">
        <v>0</v>
      </c>
      <c r="G56" s="4">
        <v>1</v>
      </c>
      <c r="H56" s="4">
        <v>1</v>
      </c>
      <c r="I56" s="4" t="s">
        <v>272</v>
      </c>
      <c r="J56" s="4" t="s">
        <v>273</v>
      </c>
      <c r="K56" s="4">
        <v>3</v>
      </c>
      <c r="L56" s="4" t="s">
        <v>274</v>
      </c>
      <c r="M56" s="4" t="s">
        <v>275</v>
      </c>
      <c r="N56" s="4" t="s">
        <v>276</v>
      </c>
      <c r="O56" s="4" t="s">
        <v>277</v>
      </c>
      <c r="P56" s="4" t="s">
        <v>278</v>
      </c>
      <c r="Q56" s="4" t="s">
        <v>279</v>
      </c>
      <c r="R56" s="4" t="s">
        <v>278</v>
      </c>
      <c r="S56" s="4" t="s">
        <v>280</v>
      </c>
      <c r="T56" s="4" t="s">
        <v>281</v>
      </c>
      <c r="U56" s="4">
        <v>0</v>
      </c>
      <c r="V56" s="4">
        <v>0</v>
      </c>
      <c r="W56" s="4">
        <v>0</v>
      </c>
      <c r="X56" s="4">
        <v>0</v>
      </c>
      <c r="Z56" s="13">
        <f t="shared" si="10"/>
        <v>2</v>
      </c>
      <c r="AA56" s="13">
        <f t="shared" si="11"/>
        <v>2</v>
      </c>
      <c r="AB56" s="13">
        <f t="shared" si="12"/>
        <v>0</v>
      </c>
      <c r="AC56" s="13">
        <f t="shared" si="13"/>
        <v>3</v>
      </c>
      <c r="AD56" s="13">
        <f t="shared" si="14"/>
        <v>3</v>
      </c>
      <c r="AE56" s="13">
        <f t="shared" si="15"/>
        <v>3</v>
      </c>
      <c r="AF56" s="13">
        <f t="shared" si="16"/>
        <v>3</v>
      </c>
      <c r="AG56" s="13">
        <f t="shared" si="17"/>
        <v>3</v>
      </c>
      <c r="AH56" s="13">
        <f t="shared" si="18"/>
        <v>3</v>
      </c>
      <c r="AI56" s="13">
        <f t="shared" si="19"/>
        <v>3</v>
      </c>
      <c r="AJ56" s="13">
        <f t="shared" si="20"/>
        <v>3</v>
      </c>
      <c r="AL56" s="13">
        <f t="shared" si="21"/>
        <v>3</v>
      </c>
      <c r="AP56" s="13">
        <f t="shared" si="22"/>
        <v>3</v>
      </c>
    </row>
    <row r="57" ht="20.1" customHeight="1" spans="1:42">
      <c r="A57" s="4">
        <v>40050</v>
      </c>
      <c r="B57" s="4">
        <v>40060</v>
      </c>
      <c r="C57" s="4">
        <v>0</v>
      </c>
      <c r="D57" s="4">
        <v>0</v>
      </c>
      <c r="E57" s="4">
        <v>0</v>
      </c>
      <c r="F57" s="4">
        <v>0</v>
      </c>
      <c r="G57" s="4">
        <v>0</v>
      </c>
      <c r="H57" s="4">
        <v>0</v>
      </c>
      <c r="I57" s="4">
        <v>0</v>
      </c>
      <c r="J57" s="4" t="s">
        <v>47</v>
      </c>
      <c r="K57" s="4">
        <v>0</v>
      </c>
      <c r="L57" s="4">
        <v>0</v>
      </c>
      <c r="M57" s="4" t="s">
        <v>47</v>
      </c>
      <c r="N57" s="4">
        <v>0</v>
      </c>
      <c r="O57" s="4" t="s">
        <v>47</v>
      </c>
      <c r="P57" s="4">
        <v>0</v>
      </c>
      <c r="Q57" s="4" t="s">
        <v>47</v>
      </c>
      <c r="R57" s="4">
        <v>0</v>
      </c>
      <c r="S57" s="4" t="s">
        <v>47</v>
      </c>
      <c r="T57" s="4">
        <v>0</v>
      </c>
      <c r="U57" s="4">
        <v>0</v>
      </c>
      <c r="V57" s="4">
        <v>0</v>
      </c>
      <c r="W57" s="4">
        <v>0</v>
      </c>
      <c r="X57" s="4">
        <v>0</v>
      </c>
      <c r="Z57" s="13">
        <f t="shared" si="10"/>
        <v>0</v>
      </c>
      <c r="AA57" s="13">
        <f t="shared" si="11"/>
        <v>0</v>
      </c>
      <c r="AB57" s="13">
        <f t="shared" si="12"/>
        <v>0</v>
      </c>
      <c r="AC57" s="13">
        <f t="shared" si="13"/>
        <v>0</v>
      </c>
      <c r="AD57" s="13">
        <f t="shared" si="14"/>
        <v>0</v>
      </c>
      <c r="AE57" s="13">
        <f t="shared" si="15"/>
        <v>0</v>
      </c>
      <c r="AF57" s="13">
        <f t="shared" si="16"/>
        <v>0</v>
      </c>
      <c r="AG57" s="13">
        <f t="shared" si="17"/>
        <v>0</v>
      </c>
      <c r="AH57" s="13">
        <f t="shared" si="18"/>
        <v>0</v>
      </c>
      <c r="AI57" s="13">
        <f t="shared" si="19"/>
        <v>0</v>
      </c>
      <c r="AJ57" s="13">
        <f t="shared" si="20"/>
        <v>0</v>
      </c>
      <c r="AL57" s="13">
        <f t="shared" si="21"/>
        <v>0</v>
      </c>
      <c r="AP57" s="13">
        <f t="shared" si="22"/>
        <v>0</v>
      </c>
    </row>
    <row r="58" ht="20.1" customHeight="1" spans="1:42">
      <c r="A58" s="4">
        <v>40060</v>
      </c>
      <c r="B58" s="4">
        <v>40070</v>
      </c>
      <c r="C58" s="4">
        <v>0</v>
      </c>
      <c r="D58" s="4">
        <v>0</v>
      </c>
      <c r="E58" s="4">
        <v>0</v>
      </c>
      <c r="F58" s="4">
        <v>0</v>
      </c>
      <c r="G58" s="4">
        <v>1</v>
      </c>
      <c r="H58" s="4">
        <v>1</v>
      </c>
      <c r="I58" s="4" t="s">
        <v>282</v>
      </c>
      <c r="J58" s="4" t="s">
        <v>283</v>
      </c>
      <c r="K58" s="4">
        <v>7</v>
      </c>
      <c r="L58" s="4" t="s">
        <v>284</v>
      </c>
      <c r="M58" s="4" t="s">
        <v>285</v>
      </c>
      <c r="N58" s="4" t="s">
        <v>284</v>
      </c>
      <c r="O58" s="4" t="s">
        <v>285</v>
      </c>
      <c r="P58" s="4" t="s">
        <v>286</v>
      </c>
      <c r="Q58" s="4" t="s">
        <v>287</v>
      </c>
      <c r="R58" s="4" t="s">
        <v>286</v>
      </c>
      <c r="S58" s="4" t="s">
        <v>288</v>
      </c>
      <c r="T58" s="4" t="s">
        <v>289</v>
      </c>
      <c r="U58" s="4">
        <v>0</v>
      </c>
      <c r="V58" s="4">
        <v>0</v>
      </c>
      <c r="W58" s="4">
        <v>0</v>
      </c>
      <c r="X58" s="4">
        <v>0</v>
      </c>
      <c r="Z58" s="13">
        <f t="shared" si="10"/>
        <v>2</v>
      </c>
      <c r="AA58" s="13">
        <f t="shared" si="11"/>
        <v>2</v>
      </c>
      <c r="AB58" s="13">
        <f t="shared" si="12"/>
        <v>0</v>
      </c>
      <c r="AC58" s="13">
        <f t="shared" si="13"/>
        <v>6</v>
      </c>
      <c r="AD58" s="13">
        <f t="shared" si="14"/>
        <v>6</v>
      </c>
      <c r="AE58" s="13">
        <f t="shared" si="15"/>
        <v>6</v>
      </c>
      <c r="AF58" s="13">
        <f t="shared" si="16"/>
        <v>6</v>
      </c>
      <c r="AG58" s="13">
        <f t="shared" si="17"/>
        <v>7</v>
      </c>
      <c r="AH58" s="13">
        <f t="shared" si="18"/>
        <v>7</v>
      </c>
      <c r="AI58" s="13">
        <f t="shared" si="19"/>
        <v>7</v>
      </c>
      <c r="AJ58" s="13">
        <f t="shared" si="20"/>
        <v>7</v>
      </c>
      <c r="AL58" s="13">
        <f t="shared" si="21"/>
        <v>6</v>
      </c>
      <c r="AP58" s="13">
        <f t="shared" si="22"/>
        <v>7</v>
      </c>
    </row>
    <row r="59" ht="20.1" customHeight="1" spans="1:42">
      <c r="A59" s="4">
        <v>40070</v>
      </c>
      <c r="B59" s="4">
        <v>40080</v>
      </c>
      <c r="C59" s="4">
        <v>0</v>
      </c>
      <c r="D59" s="4">
        <v>0</v>
      </c>
      <c r="E59" s="4">
        <v>0</v>
      </c>
      <c r="F59" s="4">
        <v>0</v>
      </c>
      <c r="G59" s="4">
        <v>0</v>
      </c>
      <c r="H59" s="4">
        <v>0</v>
      </c>
      <c r="I59" s="4">
        <v>0</v>
      </c>
      <c r="J59" s="4" t="s">
        <v>47</v>
      </c>
      <c r="K59" s="4">
        <v>0</v>
      </c>
      <c r="L59" s="4">
        <v>0</v>
      </c>
      <c r="M59" s="4" t="s">
        <v>47</v>
      </c>
      <c r="N59" s="4">
        <v>0</v>
      </c>
      <c r="O59" s="4" t="s">
        <v>47</v>
      </c>
      <c r="P59" s="4">
        <v>0</v>
      </c>
      <c r="Q59" s="4" t="s">
        <v>47</v>
      </c>
      <c r="R59" s="4">
        <v>0</v>
      </c>
      <c r="S59" s="4" t="s">
        <v>47</v>
      </c>
      <c r="T59" s="4">
        <v>0</v>
      </c>
      <c r="U59" s="4">
        <v>0</v>
      </c>
      <c r="V59" s="4">
        <v>0</v>
      </c>
      <c r="W59" s="4">
        <v>0</v>
      </c>
      <c r="X59" s="4">
        <v>0</v>
      </c>
      <c r="Z59" s="13">
        <f t="shared" si="10"/>
        <v>0</v>
      </c>
      <c r="AA59" s="13">
        <f t="shared" si="11"/>
        <v>0</v>
      </c>
      <c r="AB59" s="13">
        <f t="shared" si="12"/>
        <v>0</v>
      </c>
      <c r="AC59" s="13">
        <f t="shared" si="13"/>
        <v>0</v>
      </c>
      <c r="AD59" s="13">
        <f t="shared" si="14"/>
        <v>0</v>
      </c>
      <c r="AE59" s="13">
        <f t="shared" si="15"/>
        <v>0</v>
      </c>
      <c r="AF59" s="13">
        <f t="shared" si="16"/>
        <v>0</v>
      </c>
      <c r="AG59" s="13">
        <f t="shared" si="17"/>
        <v>0</v>
      </c>
      <c r="AH59" s="13">
        <f t="shared" si="18"/>
        <v>0</v>
      </c>
      <c r="AI59" s="13">
        <f t="shared" si="19"/>
        <v>0</v>
      </c>
      <c r="AJ59" s="13">
        <f t="shared" si="20"/>
        <v>0</v>
      </c>
      <c r="AL59" s="13">
        <f t="shared" si="21"/>
        <v>0</v>
      </c>
      <c r="AP59" s="13">
        <f t="shared" si="22"/>
        <v>0</v>
      </c>
    </row>
    <row r="60" ht="20.1" customHeight="1" spans="1:42">
      <c r="A60" s="4">
        <v>40080</v>
      </c>
      <c r="B60" s="4">
        <v>40090</v>
      </c>
      <c r="C60" s="4">
        <v>0</v>
      </c>
      <c r="D60" s="4">
        <v>0</v>
      </c>
      <c r="E60" s="4">
        <v>0</v>
      </c>
      <c r="F60" s="4">
        <v>0</v>
      </c>
      <c r="G60" s="4">
        <v>1</v>
      </c>
      <c r="H60" s="4">
        <v>1</v>
      </c>
      <c r="I60" s="4" t="s">
        <v>290</v>
      </c>
      <c r="J60" s="4" t="s">
        <v>291</v>
      </c>
      <c r="K60" s="4">
        <v>4</v>
      </c>
      <c r="L60" s="4" t="s">
        <v>292</v>
      </c>
      <c r="M60" s="4" t="s">
        <v>293</v>
      </c>
      <c r="N60" s="4" t="s">
        <v>294</v>
      </c>
      <c r="O60" s="4" t="s">
        <v>295</v>
      </c>
      <c r="P60" s="4" t="s">
        <v>296</v>
      </c>
      <c r="Q60" s="4" t="s">
        <v>297</v>
      </c>
      <c r="R60" s="4" t="s">
        <v>296</v>
      </c>
      <c r="S60" s="4" t="s">
        <v>298</v>
      </c>
      <c r="T60" s="4">
        <v>0</v>
      </c>
      <c r="U60" s="4" t="s">
        <v>299</v>
      </c>
      <c r="V60" s="4">
        <v>0</v>
      </c>
      <c r="W60" s="4">
        <v>0</v>
      </c>
      <c r="X60" s="4">
        <v>0</v>
      </c>
      <c r="Z60" s="13">
        <f t="shared" si="10"/>
        <v>2</v>
      </c>
      <c r="AA60" s="13">
        <f t="shared" si="11"/>
        <v>2</v>
      </c>
      <c r="AB60" s="13">
        <f t="shared" si="12"/>
        <v>0</v>
      </c>
      <c r="AC60" s="13">
        <f t="shared" si="13"/>
        <v>4</v>
      </c>
      <c r="AD60" s="13">
        <f t="shared" si="14"/>
        <v>4</v>
      </c>
      <c r="AE60" s="13">
        <f t="shared" si="15"/>
        <v>4</v>
      </c>
      <c r="AF60" s="13">
        <f t="shared" si="16"/>
        <v>4</v>
      </c>
      <c r="AG60" s="13">
        <f t="shared" si="17"/>
        <v>4</v>
      </c>
      <c r="AH60" s="13">
        <f t="shared" si="18"/>
        <v>4</v>
      </c>
      <c r="AI60" s="13">
        <f t="shared" si="19"/>
        <v>4</v>
      </c>
      <c r="AJ60" s="13">
        <f t="shared" si="20"/>
        <v>4</v>
      </c>
      <c r="AL60" s="13">
        <f t="shared" si="21"/>
        <v>4</v>
      </c>
      <c r="AP60" s="13">
        <f t="shared" si="22"/>
        <v>4</v>
      </c>
    </row>
    <row r="61" s="11" customFormat="1" ht="20.1" customHeight="1" spans="1:42">
      <c r="A61" s="4">
        <v>40090</v>
      </c>
      <c r="B61" s="4">
        <v>50010</v>
      </c>
      <c r="C61" s="4">
        <v>0</v>
      </c>
      <c r="D61" s="4">
        <v>0</v>
      </c>
      <c r="E61" s="4">
        <v>0</v>
      </c>
      <c r="F61" s="4">
        <v>0</v>
      </c>
      <c r="G61" s="4">
        <v>1</v>
      </c>
      <c r="H61" s="4">
        <v>1</v>
      </c>
      <c r="I61" s="4" t="s">
        <v>300</v>
      </c>
      <c r="J61" s="4" t="s">
        <v>301</v>
      </c>
      <c r="K61" s="4">
        <v>2</v>
      </c>
      <c r="L61" s="4" t="s">
        <v>302</v>
      </c>
      <c r="M61" s="4" t="s">
        <v>303</v>
      </c>
      <c r="N61" s="4" t="s">
        <v>304</v>
      </c>
      <c r="O61" s="4" t="s">
        <v>305</v>
      </c>
      <c r="P61" s="4" t="s">
        <v>306</v>
      </c>
      <c r="Q61" s="4" t="s">
        <v>307</v>
      </c>
      <c r="R61" s="4" t="s">
        <v>306</v>
      </c>
      <c r="S61" s="4" t="s">
        <v>307</v>
      </c>
      <c r="T61" s="4" t="s">
        <v>308</v>
      </c>
      <c r="U61" s="4" t="s">
        <v>309</v>
      </c>
      <c r="V61" s="4">
        <v>0</v>
      </c>
      <c r="W61" s="4">
        <v>0</v>
      </c>
      <c r="X61" s="4">
        <v>0</v>
      </c>
      <c r="Z61" s="13">
        <f t="shared" si="10"/>
        <v>2</v>
      </c>
      <c r="AA61" s="13">
        <f t="shared" si="11"/>
        <v>2</v>
      </c>
      <c r="AB61" s="13">
        <f t="shared" si="12"/>
        <v>0</v>
      </c>
      <c r="AC61" s="13">
        <f t="shared" si="13"/>
        <v>2</v>
      </c>
      <c r="AD61" s="13">
        <f t="shared" si="14"/>
        <v>2</v>
      </c>
      <c r="AE61" s="13">
        <f t="shared" si="15"/>
        <v>2</v>
      </c>
      <c r="AF61" s="13">
        <f t="shared" si="16"/>
        <v>2</v>
      </c>
      <c r="AG61" s="13">
        <f t="shared" si="17"/>
        <v>2</v>
      </c>
      <c r="AH61" s="13">
        <f t="shared" si="18"/>
        <v>2</v>
      </c>
      <c r="AI61" s="13">
        <f t="shared" si="19"/>
        <v>2</v>
      </c>
      <c r="AJ61" s="13">
        <f t="shared" si="20"/>
        <v>2</v>
      </c>
      <c r="AL61" s="13">
        <f t="shared" si="21"/>
        <v>2</v>
      </c>
      <c r="AP61" s="13">
        <f t="shared" si="22"/>
        <v>2</v>
      </c>
    </row>
    <row r="62" s="13" customFormat="1" ht="20.1" customHeight="1" spans="1:42">
      <c r="A62" s="4">
        <v>50010</v>
      </c>
      <c r="B62" s="4">
        <v>50020</v>
      </c>
      <c r="C62" s="4">
        <v>1</v>
      </c>
      <c r="D62" s="4" t="s">
        <v>310</v>
      </c>
      <c r="E62" s="4">
        <v>2</v>
      </c>
      <c r="F62" s="4">
        <v>0</v>
      </c>
      <c r="G62" s="4">
        <v>0</v>
      </c>
      <c r="H62" s="4">
        <v>0</v>
      </c>
      <c r="I62" s="4">
        <v>0</v>
      </c>
      <c r="J62" s="4" t="s">
        <v>47</v>
      </c>
      <c r="K62" s="4">
        <v>0</v>
      </c>
      <c r="L62" s="4">
        <v>0</v>
      </c>
      <c r="M62" s="4" t="s">
        <v>47</v>
      </c>
      <c r="N62" s="4">
        <v>0</v>
      </c>
      <c r="O62" s="4" t="s">
        <v>47</v>
      </c>
      <c r="P62" s="4">
        <v>0</v>
      </c>
      <c r="Q62" s="4" t="s">
        <v>47</v>
      </c>
      <c r="R62" s="4">
        <v>0</v>
      </c>
      <c r="S62" s="4" t="s">
        <v>47</v>
      </c>
      <c r="T62" s="4">
        <v>0</v>
      </c>
      <c r="U62" s="4">
        <v>0</v>
      </c>
      <c r="V62" s="4">
        <v>0</v>
      </c>
      <c r="W62" s="4">
        <v>0</v>
      </c>
      <c r="X62" s="4">
        <v>0</v>
      </c>
      <c r="Z62" s="13">
        <f t="shared" si="10"/>
        <v>0</v>
      </c>
      <c r="AA62" s="13">
        <f t="shared" si="11"/>
        <v>0</v>
      </c>
      <c r="AB62" s="13">
        <f t="shared" si="12"/>
        <v>0</v>
      </c>
      <c r="AC62" s="13">
        <f t="shared" si="13"/>
        <v>0</v>
      </c>
      <c r="AD62" s="13">
        <f t="shared" si="14"/>
        <v>0</v>
      </c>
      <c r="AE62" s="13">
        <f t="shared" si="15"/>
        <v>0</v>
      </c>
      <c r="AF62" s="13">
        <f t="shared" si="16"/>
        <v>0</v>
      </c>
      <c r="AG62" s="13">
        <f t="shared" si="17"/>
        <v>0</v>
      </c>
      <c r="AH62" s="13">
        <f t="shared" si="18"/>
        <v>0</v>
      </c>
      <c r="AI62" s="13">
        <f t="shared" si="19"/>
        <v>0</v>
      </c>
      <c r="AJ62" s="13">
        <f t="shared" si="20"/>
        <v>0</v>
      </c>
      <c r="AL62" s="13">
        <f t="shared" si="21"/>
        <v>0</v>
      </c>
      <c r="AP62" s="13">
        <f t="shared" si="22"/>
        <v>0</v>
      </c>
    </row>
    <row r="63" ht="20.1" customHeight="1" spans="1:42">
      <c r="A63" s="4">
        <v>50020</v>
      </c>
      <c r="B63" s="4">
        <v>50030</v>
      </c>
      <c r="C63" s="4">
        <v>0</v>
      </c>
      <c r="D63" s="4">
        <v>0</v>
      </c>
      <c r="E63" s="4">
        <v>0</v>
      </c>
      <c r="F63" s="4">
        <v>0</v>
      </c>
      <c r="G63" s="4">
        <v>1</v>
      </c>
      <c r="H63" s="4">
        <v>1</v>
      </c>
      <c r="I63" s="4" t="s">
        <v>311</v>
      </c>
      <c r="J63" s="4" t="s">
        <v>312</v>
      </c>
      <c r="K63" s="4">
        <v>4</v>
      </c>
      <c r="L63" s="4" t="s">
        <v>313</v>
      </c>
      <c r="M63" s="4" t="s">
        <v>314</v>
      </c>
      <c r="N63" s="4" t="s">
        <v>315</v>
      </c>
      <c r="O63" s="4" t="s">
        <v>316</v>
      </c>
      <c r="P63" s="4" t="s">
        <v>317</v>
      </c>
      <c r="Q63" s="4" t="s">
        <v>318</v>
      </c>
      <c r="R63" s="4" t="s">
        <v>317</v>
      </c>
      <c r="S63" s="4" t="s">
        <v>318</v>
      </c>
      <c r="T63" s="4" t="s">
        <v>319</v>
      </c>
      <c r="U63" s="4">
        <v>0</v>
      </c>
      <c r="V63" s="4">
        <v>0</v>
      </c>
      <c r="W63" s="4">
        <v>0</v>
      </c>
      <c r="X63" s="4">
        <v>0</v>
      </c>
      <c r="Z63" s="13">
        <f t="shared" si="10"/>
        <v>2</v>
      </c>
      <c r="AA63" s="13">
        <f t="shared" si="11"/>
        <v>2</v>
      </c>
      <c r="AB63" s="13">
        <f t="shared" si="12"/>
        <v>0</v>
      </c>
      <c r="AC63" s="13">
        <f t="shared" si="13"/>
        <v>4</v>
      </c>
      <c r="AD63" s="13">
        <f t="shared" si="14"/>
        <v>4</v>
      </c>
      <c r="AE63" s="13">
        <f t="shared" si="15"/>
        <v>4</v>
      </c>
      <c r="AF63" s="13">
        <f t="shared" si="16"/>
        <v>4</v>
      </c>
      <c r="AG63" s="13">
        <f t="shared" si="17"/>
        <v>4</v>
      </c>
      <c r="AH63" s="13">
        <f t="shared" si="18"/>
        <v>4</v>
      </c>
      <c r="AI63" s="13">
        <f t="shared" si="19"/>
        <v>4</v>
      </c>
      <c r="AJ63" s="13">
        <f t="shared" si="20"/>
        <v>4</v>
      </c>
      <c r="AL63" s="13">
        <f t="shared" si="21"/>
        <v>4</v>
      </c>
      <c r="AP63" s="13">
        <f t="shared" si="22"/>
        <v>4</v>
      </c>
    </row>
    <row r="64" ht="20.1" customHeight="1" spans="1:42">
      <c r="A64" s="4">
        <v>50030</v>
      </c>
      <c r="B64" s="4">
        <v>50040</v>
      </c>
      <c r="C64" s="4">
        <v>0</v>
      </c>
      <c r="D64" s="4">
        <v>0</v>
      </c>
      <c r="E64" s="4">
        <v>0</v>
      </c>
      <c r="F64" s="4">
        <v>0</v>
      </c>
      <c r="G64" s="4">
        <v>0</v>
      </c>
      <c r="H64" s="4">
        <v>0</v>
      </c>
      <c r="I64" s="4">
        <v>0</v>
      </c>
      <c r="J64" s="4" t="s">
        <v>47</v>
      </c>
      <c r="K64" s="4">
        <v>0</v>
      </c>
      <c r="L64" s="4">
        <v>0</v>
      </c>
      <c r="M64" s="4" t="s">
        <v>47</v>
      </c>
      <c r="N64" s="4">
        <v>0</v>
      </c>
      <c r="O64" s="4" t="s">
        <v>47</v>
      </c>
      <c r="P64" s="4">
        <v>0</v>
      </c>
      <c r="Q64" s="4" t="s">
        <v>47</v>
      </c>
      <c r="R64" s="4">
        <v>0</v>
      </c>
      <c r="S64" s="4" t="s">
        <v>47</v>
      </c>
      <c r="T64" s="4">
        <v>0</v>
      </c>
      <c r="U64" s="4">
        <v>0</v>
      </c>
      <c r="V64" s="4">
        <v>0</v>
      </c>
      <c r="W64" s="4">
        <v>0</v>
      </c>
      <c r="X64" s="4">
        <v>0</v>
      </c>
      <c r="Z64" s="13">
        <f t="shared" si="10"/>
        <v>0</v>
      </c>
      <c r="AA64" s="13">
        <f t="shared" si="11"/>
        <v>0</v>
      </c>
      <c r="AB64" s="13">
        <f t="shared" si="12"/>
        <v>0</v>
      </c>
      <c r="AC64" s="13">
        <f t="shared" si="13"/>
        <v>0</v>
      </c>
      <c r="AD64" s="13">
        <f t="shared" si="14"/>
        <v>0</v>
      </c>
      <c r="AE64" s="13">
        <f t="shared" si="15"/>
        <v>0</v>
      </c>
      <c r="AF64" s="13">
        <f t="shared" si="16"/>
        <v>0</v>
      </c>
      <c r="AG64" s="13">
        <f t="shared" si="17"/>
        <v>0</v>
      </c>
      <c r="AH64" s="13">
        <f t="shared" si="18"/>
        <v>0</v>
      </c>
      <c r="AI64" s="13">
        <f t="shared" si="19"/>
        <v>0</v>
      </c>
      <c r="AJ64" s="13">
        <f t="shared" si="20"/>
        <v>0</v>
      </c>
      <c r="AL64" s="13">
        <f t="shared" si="21"/>
        <v>0</v>
      </c>
      <c r="AP64" s="13">
        <f t="shared" si="22"/>
        <v>0</v>
      </c>
    </row>
    <row r="65" ht="20.1" customHeight="1" spans="1:42">
      <c r="A65" s="4">
        <v>50040</v>
      </c>
      <c r="B65" s="4">
        <v>50050</v>
      </c>
      <c r="C65" s="4">
        <v>0</v>
      </c>
      <c r="D65" s="4">
        <v>0</v>
      </c>
      <c r="E65" s="4">
        <v>0</v>
      </c>
      <c r="F65" s="4">
        <v>0</v>
      </c>
      <c r="G65" s="4">
        <v>1</v>
      </c>
      <c r="H65" s="4">
        <v>1</v>
      </c>
      <c r="I65" s="4" t="s">
        <v>320</v>
      </c>
      <c r="J65" s="4" t="s">
        <v>321</v>
      </c>
      <c r="K65" s="4">
        <v>2</v>
      </c>
      <c r="L65" s="4" t="s">
        <v>322</v>
      </c>
      <c r="M65" s="4" t="s">
        <v>323</v>
      </c>
      <c r="N65" s="4" t="s">
        <v>324</v>
      </c>
      <c r="O65" s="4" t="s">
        <v>325</v>
      </c>
      <c r="P65" s="4" t="s">
        <v>326</v>
      </c>
      <c r="Q65" s="4" t="s">
        <v>327</v>
      </c>
      <c r="R65" s="4" t="s">
        <v>326</v>
      </c>
      <c r="S65" s="4" t="s">
        <v>327</v>
      </c>
      <c r="T65" s="4">
        <v>0</v>
      </c>
      <c r="U65" s="4" t="s">
        <v>205</v>
      </c>
      <c r="V65" s="4">
        <v>0</v>
      </c>
      <c r="W65" s="4">
        <v>0</v>
      </c>
      <c r="X65" s="4">
        <v>0</v>
      </c>
      <c r="Z65" s="13">
        <f t="shared" si="10"/>
        <v>2</v>
      </c>
      <c r="AA65" s="13">
        <f t="shared" si="11"/>
        <v>2</v>
      </c>
      <c r="AB65" s="13">
        <f t="shared" si="12"/>
        <v>0</v>
      </c>
      <c r="AC65" s="13">
        <f t="shared" si="13"/>
        <v>2</v>
      </c>
      <c r="AD65" s="13">
        <f t="shared" si="14"/>
        <v>2</v>
      </c>
      <c r="AE65" s="13">
        <f t="shared" si="15"/>
        <v>2</v>
      </c>
      <c r="AF65" s="13">
        <f t="shared" si="16"/>
        <v>2</v>
      </c>
      <c r="AG65" s="13">
        <f t="shared" si="17"/>
        <v>2</v>
      </c>
      <c r="AH65" s="13">
        <f t="shared" si="18"/>
        <v>2</v>
      </c>
      <c r="AI65" s="13">
        <f t="shared" si="19"/>
        <v>2</v>
      </c>
      <c r="AJ65" s="13">
        <f t="shared" si="20"/>
        <v>2</v>
      </c>
      <c r="AL65" s="13">
        <f t="shared" si="21"/>
        <v>2</v>
      </c>
      <c r="AP65" s="13">
        <f t="shared" si="22"/>
        <v>2</v>
      </c>
    </row>
    <row r="66" ht="20.1" customHeight="1" spans="1:42">
      <c r="A66" s="4">
        <v>50050</v>
      </c>
      <c r="B66" s="4">
        <v>50060</v>
      </c>
      <c r="C66" s="4">
        <v>0</v>
      </c>
      <c r="D66" s="4">
        <v>0</v>
      </c>
      <c r="E66" s="4">
        <v>0</v>
      </c>
      <c r="F66" s="4">
        <v>0</v>
      </c>
      <c r="G66" s="4">
        <v>0</v>
      </c>
      <c r="H66" s="4">
        <v>0</v>
      </c>
      <c r="I66" s="4">
        <v>0</v>
      </c>
      <c r="J66" s="4" t="s">
        <v>47</v>
      </c>
      <c r="K66" s="4">
        <v>0</v>
      </c>
      <c r="L66" s="4">
        <v>0</v>
      </c>
      <c r="M66" s="4" t="s">
        <v>47</v>
      </c>
      <c r="N66" s="4">
        <v>0</v>
      </c>
      <c r="O66" s="4" t="s">
        <v>47</v>
      </c>
      <c r="P66" s="4">
        <v>0</v>
      </c>
      <c r="Q66" s="4" t="s">
        <v>47</v>
      </c>
      <c r="R66" s="4">
        <v>0</v>
      </c>
      <c r="S66" s="4" t="s">
        <v>47</v>
      </c>
      <c r="T66" s="4">
        <v>0</v>
      </c>
      <c r="U66" s="4">
        <v>0</v>
      </c>
      <c r="V66" s="4">
        <v>0</v>
      </c>
      <c r="W66" s="4">
        <v>0</v>
      </c>
      <c r="X66" s="4">
        <v>0</v>
      </c>
      <c r="Z66" s="13">
        <f t="shared" si="10"/>
        <v>0</v>
      </c>
      <c r="AA66" s="13">
        <f t="shared" si="11"/>
        <v>0</v>
      </c>
      <c r="AB66" s="13">
        <f t="shared" si="12"/>
        <v>0</v>
      </c>
      <c r="AC66" s="13">
        <f t="shared" si="13"/>
        <v>0</v>
      </c>
      <c r="AD66" s="13">
        <f t="shared" si="14"/>
        <v>0</v>
      </c>
      <c r="AE66" s="13">
        <f t="shared" si="15"/>
        <v>0</v>
      </c>
      <c r="AF66" s="13">
        <f t="shared" si="16"/>
        <v>0</v>
      </c>
      <c r="AG66" s="13">
        <f t="shared" si="17"/>
        <v>0</v>
      </c>
      <c r="AH66" s="13">
        <f t="shared" si="18"/>
        <v>0</v>
      </c>
      <c r="AI66" s="13">
        <f t="shared" si="19"/>
        <v>0</v>
      </c>
      <c r="AJ66" s="13">
        <f t="shared" si="20"/>
        <v>0</v>
      </c>
      <c r="AL66" s="13">
        <f t="shared" si="21"/>
        <v>0</v>
      </c>
      <c r="AP66" s="13">
        <f t="shared" si="22"/>
        <v>0</v>
      </c>
    </row>
    <row r="67" ht="20.1" customHeight="1" spans="1:42">
      <c r="A67" s="4">
        <v>50060</v>
      </c>
      <c r="B67" s="4">
        <v>50070</v>
      </c>
      <c r="C67" s="4">
        <v>0</v>
      </c>
      <c r="D67" s="4">
        <v>0</v>
      </c>
      <c r="E67" s="4">
        <v>0</v>
      </c>
      <c r="F67" s="4">
        <v>0</v>
      </c>
      <c r="G67" s="4">
        <v>1</v>
      </c>
      <c r="H67" s="4">
        <v>1</v>
      </c>
      <c r="I67" s="4" t="s">
        <v>328</v>
      </c>
      <c r="J67" s="4" t="s">
        <v>329</v>
      </c>
      <c r="K67" s="4">
        <v>6</v>
      </c>
      <c r="L67" s="4" t="s">
        <v>330</v>
      </c>
      <c r="M67" s="4" t="s">
        <v>331</v>
      </c>
      <c r="N67" s="4" t="s">
        <v>332</v>
      </c>
      <c r="O67" s="4" t="s">
        <v>333</v>
      </c>
      <c r="P67" s="4" t="s">
        <v>334</v>
      </c>
      <c r="Q67" s="4" t="s">
        <v>335</v>
      </c>
      <c r="R67" s="4" t="s">
        <v>334</v>
      </c>
      <c r="S67" s="4" t="s">
        <v>335</v>
      </c>
      <c r="T67" s="4" t="s">
        <v>336</v>
      </c>
      <c r="U67" s="4">
        <v>0</v>
      </c>
      <c r="V67" s="4">
        <v>0</v>
      </c>
      <c r="W67" s="4">
        <v>0</v>
      </c>
      <c r="X67" s="4">
        <v>0</v>
      </c>
      <c r="Z67" s="13">
        <f t="shared" si="10"/>
        <v>2</v>
      </c>
      <c r="AA67" s="13">
        <f t="shared" si="11"/>
        <v>2</v>
      </c>
      <c r="AB67" s="13">
        <f t="shared" si="12"/>
        <v>0</v>
      </c>
      <c r="AC67" s="13">
        <f t="shared" si="13"/>
        <v>6</v>
      </c>
      <c r="AD67" s="13">
        <f t="shared" si="14"/>
        <v>6</v>
      </c>
      <c r="AE67" s="13">
        <f t="shared" si="15"/>
        <v>6</v>
      </c>
      <c r="AF67" s="13">
        <f t="shared" si="16"/>
        <v>6</v>
      </c>
      <c r="AG67" s="13">
        <f t="shared" si="17"/>
        <v>6</v>
      </c>
      <c r="AH67" s="13">
        <f t="shared" si="18"/>
        <v>6</v>
      </c>
      <c r="AI67" s="13">
        <f t="shared" si="19"/>
        <v>6</v>
      </c>
      <c r="AJ67" s="13">
        <f t="shared" si="20"/>
        <v>6</v>
      </c>
      <c r="AL67" s="13">
        <f t="shared" si="21"/>
        <v>6</v>
      </c>
      <c r="AP67" s="13">
        <f t="shared" si="22"/>
        <v>6</v>
      </c>
    </row>
    <row r="68" ht="20.1" customHeight="1" spans="1:42">
      <c r="A68" s="4">
        <v>50070</v>
      </c>
      <c r="B68" s="4">
        <v>50080</v>
      </c>
      <c r="C68" s="4">
        <v>0</v>
      </c>
      <c r="D68" s="4">
        <v>0</v>
      </c>
      <c r="E68" s="4">
        <v>0</v>
      </c>
      <c r="F68" s="4">
        <v>0</v>
      </c>
      <c r="G68" s="4">
        <v>0</v>
      </c>
      <c r="H68" s="4">
        <v>0</v>
      </c>
      <c r="I68" s="4">
        <v>0</v>
      </c>
      <c r="J68" s="4" t="s">
        <v>47</v>
      </c>
      <c r="K68" s="4">
        <v>0</v>
      </c>
      <c r="L68" s="4">
        <v>0</v>
      </c>
      <c r="M68" s="4" t="s">
        <v>47</v>
      </c>
      <c r="N68" s="4">
        <v>0</v>
      </c>
      <c r="O68" s="4" t="s">
        <v>47</v>
      </c>
      <c r="P68" s="4">
        <v>0</v>
      </c>
      <c r="Q68" s="4" t="s">
        <v>47</v>
      </c>
      <c r="R68" s="4">
        <v>0</v>
      </c>
      <c r="S68" s="4" t="s">
        <v>47</v>
      </c>
      <c r="T68" s="4">
        <v>0</v>
      </c>
      <c r="U68" s="4">
        <v>0</v>
      </c>
      <c r="V68" s="4">
        <v>0</v>
      </c>
      <c r="W68" s="4">
        <v>0</v>
      </c>
      <c r="X68" s="4">
        <v>0</v>
      </c>
      <c r="Z68" s="13">
        <f t="shared" si="10"/>
        <v>0</v>
      </c>
      <c r="AA68" s="13">
        <f t="shared" si="11"/>
        <v>0</v>
      </c>
      <c r="AB68" s="13">
        <f t="shared" si="12"/>
        <v>0</v>
      </c>
      <c r="AC68" s="13">
        <f t="shared" si="13"/>
        <v>0</v>
      </c>
      <c r="AD68" s="13">
        <f t="shared" si="14"/>
        <v>0</v>
      </c>
      <c r="AE68" s="13">
        <f t="shared" si="15"/>
        <v>0</v>
      </c>
      <c r="AF68" s="13">
        <f t="shared" si="16"/>
        <v>0</v>
      </c>
      <c r="AG68" s="13">
        <f t="shared" si="17"/>
        <v>0</v>
      </c>
      <c r="AH68" s="13">
        <f t="shared" si="18"/>
        <v>0</v>
      </c>
      <c r="AI68" s="13">
        <f t="shared" si="19"/>
        <v>0</v>
      </c>
      <c r="AJ68" s="13">
        <f t="shared" si="20"/>
        <v>0</v>
      </c>
      <c r="AL68" s="13">
        <f t="shared" si="21"/>
        <v>0</v>
      </c>
      <c r="AP68" s="13">
        <f t="shared" si="22"/>
        <v>0</v>
      </c>
    </row>
    <row r="69" ht="20.1" customHeight="1" spans="1:42">
      <c r="A69" s="4">
        <v>50080</v>
      </c>
      <c r="B69" s="4">
        <v>50090</v>
      </c>
      <c r="C69" s="4">
        <v>0</v>
      </c>
      <c r="D69" s="4">
        <v>0</v>
      </c>
      <c r="E69" s="4">
        <v>0</v>
      </c>
      <c r="F69" s="4">
        <v>0</v>
      </c>
      <c r="G69" s="4">
        <v>1</v>
      </c>
      <c r="H69" s="4">
        <v>0</v>
      </c>
      <c r="I69" s="4">
        <v>0</v>
      </c>
      <c r="J69" s="4" t="s">
        <v>47</v>
      </c>
      <c r="K69" s="4">
        <v>0</v>
      </c>
      <c r="L69" s="4" t="s">
        <v>337</v>
      </c>
      <c r="M69" s="4" t="s">
        <v>338</v>
      </c>
      <c r="N69" s="4" t="s">
        <v>337</v>
      </c>
      <c r="O69" s="4" t="s">
        <v>338</v>
      </c>
      <c r="P69" s="4" t="s">
        <v>339</v>
      </c>
      <c r="Q69" s="4" t="s">
        <v>340</v>
      </c>
      <c r="R69" s="4" t="s">
        <v>339</v>
      </c>
      <c r="S69" s="4" t="s">
        <v>340</v>
      </c>
      <c r="T69" s="4">
        <v>0</v>
      </c>
      <c r="U69" s="4">
        <v>0</v>
      </c>
      <c r="V69" s="4">
        <v>0</v>
      </c>
      <c r="W69" s="4">
        <v>0</v>
      </c>
      <c r="X69" s="4">
        <v>0</v>
      </c>
      <c r="Z69" s="13">
        <f t="shared" si="10"/>
        <v>0</v>
      </c>
      <c r="AA69" s="13">
        <f t="shared" si="11"/>
        <v>0</v>
      </c>
      <c r="AB69" s="13">
        <f t="shared" si="12"/>
        <v>0</v>
      </c>
      <c r="AC69" s="13">
        <f t="shared" si="13"/>
        <v>3</v>
      </c>
      <c r="AD69" s="13">
        <f t="shared" si="14"/>
        <v>3</v>
      </c>
      <c r="AE69" s="13">
        <f t="shared" si="15"/>
        <v>3</v>
      </c>
      <c r="AF69" s="13">
        <f t="shared" si="16"/>
        <v>3</v>
      </c>
      <c r="AG69" s="13">
        <f t="shared" si="17"/>
        <v>3</v>
      </c>
      <c r="AH69" s="13">
        <f t="shared" si="18"/>
        <v>3</v>
      </c>
      <c r="AI69" s="13">
        <f t="shared" si="19"/>
        <v>3</v>
      </c>
      <c r="AJ69" s="13">
        <f t="shared" si="20"/>
        <v>3</v>
      </c>
      <c r="AL69" s="13">
        <f t="shared" si="21"/>
        <v>3</v>
      </c>
      <c r="AP69" s="13">
        <f t="shared" si="22"/>
        <v>3</v>
      </c>
    </row>
    <row r="70" customFormat="1" ht="20.1" customHeight="1" spans="1:42">
      <c r="A70" s="4">
        <v>50090</v>
      </c>
      <c r="B70" s="4">
        <v>60000</v>
      </c>
      <c r="C70" s="4">
        <v>0</v>
      </c>
      <c r="D70" s="4">
        <v>0</v>
      </c>
      <c r="E70" s="4">
        <v>0</v>
      </c>
      <c r="F70" s="4">
        <v>0</v>
      </c>
      <c r="G70" s="4">
        <v>1</v>
      </c>
      <c r="H70" s="4">
        <v>0</v>
      </c>
      <c r="I70" s="4">
        <v>0</v>
      </c>
      <c r="J70" s="4" t="s">
        <v>47</v>
      </c>
      <c r="K70" s="4">
        <v>0</v>
      </c>
      <c r="L70" s="4" t="s">
        <v>341</v>
      </c>
      <c r="M70" s="4" t="s">
        <v>342</v>
      </c>
      <c r="N70" s="4" t="s">
        <v>343</v>
      </c>
      <c r="O70" s="4" t="s">
        <v>343</v>
      </c>
      <c r="P70" s="4" t="s">
        <v>343</v>
      </c>
      <c r="Q70" s="4" t="s">
        <v>343</v>
      </c>
      <c r="R70" s="4" t="s">
        <v>343</v>
      </c>
      <c r="S70" s="4" t="s">
        <v>343</v>
      </c>
      <c r="T70" s="4" t="s">
        <v>344</v>
      </c>
      <c r="U70" s="4">
        <v>0</v>
      </c>
      <c r="V70" s="4">
        <v>0</v>
      </c>
      <c r="W70" s="4">
        <v>0</v>
      </c>
      <c r="X70" s="4">
        <v>0</v>
      </c>
      <c r="Z70" s="13">
        <f t="shared" si="10"/>
        <v>0</v>
      </c>
      <c r="AA70" s="13">
        <f t="shared" si="11"/>
        <v>0</v>
      </c>
      <c r="AB70" s="13">
        <f t="shared" si="12"/>
        <v>0</v>
      </c>
      <c r="AC70" s="13">
        <f t="shared" si="13"/>
        <v>0</v>
      </c>
      <c r="AD70" s="13">
        <f t="shared" si="14"/>
        <v>0</v>
      </c>
      <c r="AE70" s="13">
        <f t="shared" si="15"/>
        <v>0</v>
      </c>
      <c r="AF70" s="13">
        <f t="shared" si="16"/>
        <v>0</v>
      </c>
      <c r="AG70" s="13">
        <f t="shared" si="17"/>
        <v>0</v>
      </c>
      <c r="AH70" s="13">
        <f t="shared" si="18"/>
        <v>0</v>
      </c>
      <c r="AI70" s="13">
        <f t="shared" si="19"/>
        <v>0</v>
      </c>
      <c r="AJ70" s="13">
        <f t="shared" si="20"/>
        <v>0</v>
      </c>
      <c r="AL70" s="13">
        <f t="shared" si="21"/>
        <v>0</v>
      </c>
      <c r="AP70" s="13">
        <f t="shared" si="22"/>
        <v>0</v>
      </c>
    </row>
    <row r="71" spans="13:19">
      <c r="M71" s="16" t="s">
        <v>343</v>
      </c>
      <c r="O71" s="16" t="s">
        <v>343</v>
      </c>
      <c r="Q71" s="16" t="s">
        <v>343</v>
      </c>
      <c r="S71" s="16" t="s">
        <v>343</v>
      </c>
    </row>
    <row r="72" spans="13:19">
      <c r="M72" s="16" t="s">
        <v>343</v>
      </c>
      <c r="O72" s="16" t="s">
        <v>343</v>
      </c>
      <c r="Q72" s="16" t="s">
        <v>343</v>
      </c>
      <c r="S72" s="16" t="s">
        <v>343</v>
      </c>
    </row>
    <row r="73" spans="13:19">
      <c r="M73" s="16" t="s">
        <v>343</v>
      </c>
      <c r="O73" s="16" t="s">
        <v>343</v>
      </c>
      <c r="Q73" s="16" t="s">
        <v>343</v>
      </c>
      <c r="S73" s="16" t="s">
        <v>343</v>
      </c>
    </row>
    <row r="74" spans="13:19">
      <c r="M74" s="16" t="s">
        <v>343</v>
      </c>
      <c r="O74" s="16" t="s">
        <v>343</v>
      </c>
      <c r="Q74" s="16" t="s">
        <v>343</v>
      </c>
      <c r="S74" s="16" t="s">
        <v>343</v>
      </c>
    </row>
    <row r="75" spans="13:19">
      <c r="M75" s="16" t="s">
        <v>343</v>
      </c>
      <c r="O75" s="16" t="s">
        <v>343</v>
      </c>
      <c r="Q75" s="16" t="s">
        <v>343</v>
      </c>
      <c r="S75" s="16" t="s">
        <v>343</v>
      </c>
    </row>
    <row r="76" spans="13:19">
      <c r="M76" s="16" t="s">
        <v>343</v>
      </c>
      <c r="O76" s="16" t="s">
        <v>343</v>
      </c>
      <c r="Q76" s="16" t="s">
        <v>343</v>
      </c>
      <c r="S76" s="16" t="s">
        <v>343</v>
      </c>
    </row>
    <row r="77" spans="13:17">
      <c r="M77" s="16" t="s">
        <v>343</v>
      </c>
      <c r="O77" s="16" t="s">
        <v>343</v>
      </c>
      <c r="Q77" s="16" t="s">
        <v>343</v>
      </c>
    </row>
    <row r="78" spans="13:17">
      <c r="M78" s="16" t="s">
        <v>343</v>
      </c>
      <c r="O78" s="16" t="s">
        <v>343</v>
      </c>
      <c r="Q78" s="16" t="s">
        <v>343</v>
      </c>
    </row>
    <row r="79" spans="13:17">
      <c r="M79" s="16" t="s">
        <v>343</v>
      </c>
      <c r="O79" s="16" t="s">
        <v>343</v>
      </c>
      <c r="Q79" s="16" t="s">
        <v>343</v>
      </c>
    </row>
    <row r="80" spans="13:17">
      <c r="M80" s="16" t="s">
        <v>343</v>
      </c>
      <c r="O80" s="16" t="s">
        <v>343</v>
      </c>
      <c r="Q80" s="16" t="s">
        <v>343</v>
      </c>
    </row>
    <row r="81" spans="13:17">
      <c r="M81" s="16" t="s">
        <v>343</v>
      </c>
      <c r="O81" s="16" t="s">
        <v>343</v>
      </c>
      <c r="Q81" s="16" t="s">
        <v>343</v>
      </c>
    </row>
    <row r="82" spans="13:17">
      <c r="M82" s="16" t="s">
        <v>343</v>
      </c>
      <c r="O82" s="16" t="s">
        <v>343</v>
      </c>
      <c r="Q82" s="16" t="s">
        <v>343</v>
      </c>
    </row>
    <row r="83" spans="13:17">
      <c r="M83" s="16" t="s">
        <v>343</v>
      </c>
      <c r="O83" s="16" t="s">
        <v>343</v>
      </c>
      <c r="Q83" s="16" t="s">
        <v>343</v>
      </c>
    </row>
    <row r="84" spans="13:17">
      <c r="M84" s="16" t="s">
        <v>343</v>
      </c>
      <c r="O84" s="16" t="s">
        <v>343</v>
      </c>
      <c r="Q84" s="16" t="s">
        <v>343</v>
      </c>
    </row>
    <row r="85" spans="13:17">
      <c r="M85" s="16" t="s">
        <v>343</v>
      </c>
      <c r="O85" s="16" t="s">
        <v>343</v>
      </c>
      <c r="Q85" s="16" t="s">
        <v>343</v>
      </c>
    </row>
    <row r="86" spans="13:17">
      <c r="M86" s="16" t="s">
        <v>343</v>
      </c>
      <c r="O86" s="16" t="s">
        <v>343</v>
      </c>
      <c r="Q86" s="16" t="s">
        <v>343</v>
      </c>
    </row>
    <row r="87" spans="13:17">
      <c r="M87" s="16" t="s">
        <v>343</v>
      </c>
      <c r="O87" s="16" t="s">
        <v>343</v>
      </c>
      <c r="Q87" s="16" t="s">
        <v>343</v>
      </c>
    </row>
    <row r="88" spans="13:17">
      <c r="M88" s="16" t="s">
        <v>343</v>
      </c>
      <c r="O88" s="16" t="s">
        <v>343</v>
      </c>
      <c r="Q88" s="16" t="s">
        <v>343</v>
      </c>
    </row>
    <row r="89" spans="13:17">
      <c r="M89" s="16" t="s">
        <v>343</v>
      </c>
      <c r="O89" s="16" t="s">
        <v>343</v>
      </c>
      <c r="Q89" s="16" t="s">
        <v>343</v>
      </c>
    </row>
    <row r="90" spans="13:17">
      <c r="M90" s="16" t="s">
        <v>343</v>
      </c>
      <c r="O90" s="16" t="s">
        <v>343</v>
      </c>
      <c r="Q90" s="16" t="s">
        <v>343</v>
      </c>
    </row>
    <row r="91" spans="13:17">
      <c r="M91" s="16" t="s">
        <v>343</v>
      </c>
      <c r="O91" s="16" t="s">
        <v>343</v>
      </c>
      <c r="Q91" s="16" t="s">
        <v>343</v>
      </c>
    </row>
    <row r="92" spans="13:17">
      <c r="M92" s="16" t="s">
        <v>343</v>
      </c>
      <c r="O92" s="16" t="s">
        <v>343</v>
      </c>
      <c r="Q92" s="16" t="s">
        <v>343</v>
      </c>
    </row>
    <row r="93" spans="13:17">
      <c r="M93" s="16" t="s">
        <v>343</v>
      </c>
      <c r="O93" s="16" t="s">
        <v>343</v>
      </c>
      <c r="Q93" s="16" t="s">
        <v>343</v>
      </c>
    </row>
    <row r="94" spans="13:17">
      <c r="M94" s="16" t="s">
        <v>343</v>
      </c>
      <c r="O94" s="16" t="s">
        <v>343</v>
      </c>
      <c r="Q94" s="16" t="s">
        <v>343</v>
      </c>
    </row>
    <row r="95" spans="13:17">
      <c r="M95" s="16" t="s">
        <v>343</v>
      </c>
      <c r="O95" s="16" t="s">
        <v>343</v>
      </c>
      <c r="Q95" s="16" t="s">
        <v>343</v>
      </c>
    </row>
    <row r="96" spans="13:17">
      <c r="M96" s="16" t="s">
        <v>343</v>
      </c>
      <c r="O96" s="16" t="s">
        <v>343</v>
      </c>
      <c r="Q96" s="16" t="s">
        <v>343</v>
      </c>
    </row>
    <row r="97" spans="13:17">
      <c r="M97" s="16" t="s">
        <v>343</v>
      </c>
      <c r="O97" s="16" t="s">
        <v>343</v>
      </c>
      <c r="Q97" s="16" t="s">
        <v>343</v>
      </c>
    </row>
    <row r="98" spans="13:17">
      <c r="M98" s="16" t="s">
        <v>343</v>
      </c>
      <c r="O98" s="16" t="s">
        <v>343</v>
      </c>
      <c r="Q98" s="16" t="s">
        <v>343</v>
      </c>
    </row>
    <row r="99" spans="13:17">
      <c r="M99" s="16" t="s">
        <v>343</v>
      </c>
      <c r="O99" s="16" t="s">
        <v>343</v>
      </c>
      <c r="Q99" s="16" t="s">
        <v>343</v>
      </c>
    </row>
    <row r="100" spans="13:17">
      <c r="M100" s="16" t="s">
        <v>343</v>
      </c>
      <c r="O100" s="16" t="s">
        <v>343</v>
      </c>
      <c r="Q100" s="16" t="s">
        <v>343</v>
      </c>
    </row>
    <row r="101" spans="13:17">
      <c r="M101" s="16" t="s">
        <v>343</v>
      </c>
      <c r="O101" s="16" t="s">
        <v>343</v>
      </c>
      <c r="Q101" s="16" t="s">
        <v>343</v>
      </c>
    </row>
    <row r="102" spans="13:17">
      <c r="M102" s="16" t="s">
        <v>343</v>
      </c>
      <c r="O102" s="16" t="s">
        <v>343</v>
      </c>
      <c r="Q102" s="16" t="s">
        <v>343</v>
      </c>
    </row>
    <row r="103" spans="13:17">
      <c r="M103" s="16" t="s">
        <v>343</v>
      </c>
      <c r="O103" s="16" t="s">
        <v>343</v>
      </c>
      <c r="Q103" s="16" t="s">
        <v>343</v>
      </c>
    </row>
    <row r="104" spans="13:17">
      <c r="M104" s="16" t="s">
        <v>343</v>
      </c>
      <c r="O104" s="16" t="s">
        <v>343</v>
      </c>
      <c r="Q104" s="16" t="s">
        <v>343</v>
      </c>
    </row>
    <row r="105" spans="13:17">
      <c r="M105" s="16" t="s">
        <v>343</v>
      </c>
      <c r="O105" s="16" t="s">
        <v>343</v>
      </c>
      <c r="Q105" s="16" t="s">
        <v>343</v>
      </c>
    </row>
    <row r="106" spans="13:17">
      <c r="M106" s="16" t="s">
        <v>343</v>
      </c>
      <c r="O106" s="16" t="s">
        <v>343</v>
      </c>
      <c r="Q106" s="16" t="s">
        <v>343</v>
      </c>
    </row>
    <row r="107" spans="13:17">
      <c r="M107" s="16" t="s">
        <v>343</v>
      </c>
      <c r="O107" s="16" t="s">
        <v>343</v>
      </c>
      <c r="Q107" s="16" t="s">
        <v>343</v>
      </c>
    </row>
    <row r="108" spans="13:17">
      <c r="M108" s="16" t="s">
        <v>343</v>
      </c>
      <c r="O108" s="16" t="s">
        <v>343</v>
      </c>
      <c r="Q108" s="16" t="s">
        <v>343</v>
      </c>
    </row>
    <row r="109" spans="13:17">
      <c r="M109" s="16" t="s">
        <v>343</v>
      </c>
      <c r="O109" s="16" t="s">
        <v>343</v>
      </c>
      <c r="Q109" s="16" t="s">
        <v>343</v>
      </c>
    </row>
    <row r="110" spans="13:17">
      <c r="M110" s="16" t="s">
        <v>343</v>
      </c>
      <c r="O110" s="16" t="s">
        <v>343</v>
      </c>
      <c r="Q110" s="16" t="s">
        <v>343</v>
      </c>
    </row>
    <row r="111" spans="13:17">
      <c r="M111" s="16" t="s">
        <v>343</v>
      </c>
      <c r="O111" s="16" t="s">
        <v>343</v>
      </c>
      <c r="Q111" s="16" t="s">
        <v>343</v>
      </c>
    </row>
    <row r="112" spans="13:17">
      <c r="M112" s="16" t="s">
        <v>343</v>
      </c>
      <c r="O112" s="16" t="s">
        <v>343</v>
      </c>
      <c r="Q112" s="16" t="s">
        <v>343</v>
      </c>
    </row>
    <row r="113" spans="13:17">
      <c r="M113" s="16" t="s">
        <v>343</v>
      </c>
      <c r="O113" s="16" t="s">
        <v>343</v>
      </c>
      <c r="Q113" s="16" t="s">
        <v>343</v>
      </c>
    </row>
    <row r="114" spans="13:17">
      <c r="M114" s="16" t="s">
        <v>343</v>
      </c>
      <c r="O114" s="16" t="s">
        <v>343</v>
      </c>
      <c r="Q114" s="16" t="s">
        <v>343</v>
      </c>
    </row>
    <row r="115" spans="13:17">
      <c r="M115" s="16" t="s">
        <v>343</v>
      </c>
      <c r="O115" s="16" t="s">
        <v>343</v>
      </c>
      <c r="Q115" s="16" t="s">
        <v>343</v>
      </c>
    </row>
    <row r="116" spans="13:17">
      <c r="M116" s="16" t="s">
        <v>343</v>
      </c>
      <c r="O116" s="16" t="s">
        <v>343</v>
      </c>
      <c r="Q116" s="16" t="s">
        <v>343</v>
      </c>
    </row>
    <row r="117" spans="13:17">
      <c r="M117" s="16" t="s">
        <v>343</v>
      </c>
      <c r="O117" s="16" t="s">
        <v>343</v>
      </c>
      <c r="Q117" s="16" t="s">
        <v>343</v>
      </c>
    </row>
    <row r="118" spans="13:17">
      <c r="M118" s="16" t="s">
        <v>343</v>
      </c>
      <c r="O118" s="16" t="s">
        <v>343</v>
      </c>
      <c r="Q118" s="16" t="s">
        <v>343</v>
      </c>
    </row>
    <row r="119" spans="13:17">
      <c r="M119" s="16" t="s">
        <v>343</v>
      </c>
      <c r="O119" s="16" t="s">
        <v>343</v>
      </c>
      <c r="Q119" s="16" t="s">
        <v>343</v>
      </c>
    </row>
    <row r="120" spans="13:17">
      <c r="M120" s="16" t="s">
        <v>343</v>
      </c>
      <c r="O120" s="16" t="s">
        <v>343</v>
      </c>
      <c r="Q120" s="16" t="s">
        <v>343</v>
      </c>
    </row>
    <row r="121" spans="13:17">
      <c r="M121" s="16" t="s">
        <v>343</v>
      </c>
      <c r="O121" s="16" t="s">
        <v>343</v>
      </c>
      <c r="Q121" s="16" t="s">
        <v>343</v>
      </c>
    </row>
    <row r="122" spans="13:17">
      <c r="M122" s="16" t="s">
        <v>343</v>
      </c>
      <c r="O122" s="16" t="s">
        <v>343</v>
      </c>
      <c r="Q122" s="16" t="s">
        <v>343</v>
      </c>
    </row>
    <row r="123" spans="13:17">
      <c r="M123" s="16" t="s">
        <v>343</v>
      </c>
      <c r="O123" s="16" t="s">
        <v>343</v>
      </c>
      <c r="Q123" s="16" t="s">
        <v>343</v>
      </c>
    </row>
    <row r="124" spans="13:17">
      <c r="M124" s="16" t="s">
        <v>343</v>
      </c>
      <c r="O124" s="16" t="s">
        <v>343</v>
      </c>
      <c r="Q124" s="16" t="s">
        <v>343</v>
      </c>
    </row>
    <row r="125" spans="13:17">
      <c r="M125" s="16" t="s">
        <v>343</v>
      </c>
      <c r="O125" s="16" t="s">
        <v>343</v>
      </c>
      <c r="Q125" s="16" t="s">
        <v>343</v>
      </c>
    </row>
    <row r="126" spans="13:17">
      <c r="M126" s="16" t="s">
        <v>343</v>
      </c>
      <c r="O126" s="16" t="s">
        <v>343</v>
      </c>
      <c r="Q126" s="16" t="s">
        <v>343</v>
      </c>
    </row>
    <row r="127" spans="13:17">
      <c r="M127" s="16" t="s">
        <v>343</v>
      </c>
      <c r="O127" s="16" t="s">
        <v>343</v>
      </c>
      <c r="Q127" s="16" t="s">
        <v>343</v>
      </c>
    </row>
    <row r="128" spans="13:17">
      <c r="M128" s="16" t="s">
        <v>343</v>
      </c>
      <c r="O128" s="16" t="s">
        <v>343</v>
      </c>
      <c r="Q128" s="16" t="s">
        <v>343</v>
      </c>
    </row>
    <row r="129" spans="13:17">
      <c r="M129" s="16" t="s">
        <v>343</v>
      </c>
      <c r="O129" s="16" t="s">
        <v>343</v>
      </c>
      <c r="Q129" s="16" t="s">
        <v>343</v>
      </c>
    </row>
    <row r="130" spans="13:17">
      <c r="M130" s="16" t="s">
        <v>343</v>
      </c>
      <c r="O130" s="16" t="s">
        <v>343</v>
      </c>
      <c r="Q130" s="16" t="s">
        <v>343</v>
      </c>
    </row>
    <row r="131" spans="13:17">
      <c r="M131" s="16" t="s">
        <v>343</v>
      </c>
      <c r="O131" s="16" t="s">
        <v>343</v>
      </c>
      <c r="Q131" s="16" t="s">
        <v>343</v>
      </c>
    </row>
    <row r="132" spans="13:17">
      <c r="M132" s="16" t="s">
        <v>343</v>
      </c>
      <c r="O132" s="16" t="s">
        <v>343</v>
      </c>
      <c r="Q132" s="16" t="s">
        <v>343</v>
      </c>
    </row>
    <row r="133" spans="13:17">
      <c r="M133" s="16" t="s">
        <v>343</v>
      </c>
      <c r="O133" s="16" t="s">
        <v>343</v>
      </c>
      <c r="Q133" s="16" t="s">
        <v>343</v>
      </c>
    </row>
    <row r="134" spans="13:17">
      <c r="M134" s="16" t="s">
        <v>343</v>
      </c>
      <c r="O134" s="16" t="s">
        <v>343</v>
      </c>
      <c r="Q134" s="16" t="s">
        <v>343</v>
      </c>
    </row>
    <row r="135" spans="13:17">
      <c r="M135" s="16" t="s">
        <v>343</v>
      </c>
      <c r="O135" s="16" t="s">
        <v>343</v>
      </c>
      <c r="Q135" s="16" t="s">
        <v>343</v>
      </c>
    </row>
    <row r="136" spans="13:17">
      <c r="M136" s="16" t="s">
        <v>343</v>
      </c>
      <c r="O136" s="16" t="s">
        <v>343</v>
      </c>
      <c r="Q136" s="16" t="s">
        <v>343</v>
      </c>
    </row>
    <row r="137" spans="13:17">
      <c r="M137" s="16" t="s">
        <v>343</v>
      </c>
      <c r="O137" s="16" t="s">
        <v>343</v>
      </c>
      <c r="Q137" s="16" t="s">
        <v>343</v>
      </c>
    </row>
    <row r="138" spans="13:17">
      <c r="M138" s="16" t="s">
        <v>343</v>
      </c>
      <c r="O138" s="16" t="s">
        <v>343</v>
      </c>
      <c r="Q138" s="16" t="s">
        <v>343</v>
      </c>
    </row>
    <row r="139" spans="13:17">
      <c r="M139" s="16" t="s">
        <v>343</v>
      </c>
      <c r="O139" s="16" t="s">
        <v>343</v>
      </c>
      <c r="Q139" s="16" t="s">
        <v>343</v>
      </c>
    </row>
    <row r="140" spans="13:17">
      <c r="M140" s="16" t="s">
        <v>343</v>
      </c>
      <c r="O140" s="16" t="s">
        <v>343</v>
      </c>
      <c r="Q140" s="16" t="s">
        <v>343</v>
      </c>
    </row>
    <row r="141" spans="13:17">
      <c r="M141" s="16" t="s">
        <v>343</v>
      </c>
      <c r="O141" s="16" t="s">
        <v>343</v>
      </c>
      <c r="Q141" s="16" t="s">
        <v>343</v>
      </c>
    </row>
    <row r="142" spans="13:17">
      <c r="M142" s="16" t="s">
        <v>343</v>
      </c>
      <c r="O142" s="16" t="s">
        <v>343</v>
      </c>
      <c r="Q142" s="16" t="s">
        <v>343</v>
      </c>
    </row>
    <row r="143" spans="13:17">
      <c r="M143" s="16" t="s">
        <v>343</v>
      </c>
      <c r="O143" s="16" t="s">
        <v>343</v>
      </c>
      <c r="Q143" s="16" t="s">
        <v>343</v>
      </c>
    </row>
    <row r="144" spans="13:17">
      <c r="M144" s="16" t="s">
        <v>343</v>
      </c>
      <c r="O144" s="16" t="s">
        <v>343</v>
      </c>
      <c r="Q144" s="16" t="s">
        <v>343</v>
      </c>
    </row>
    <row r="145" spans="13:17">
      <c r="M145" s="16" t="s">
        <v>343</v>
      </c>
      <c r="O145" s="16" t="s">
        <v>343</v>
      </c>
      <c r="Q145" s="16" t="s">
        <v>343</v>
      </c>
    </row>
    <row r="146" spans="13:17">
      <c r="M146" s="16" t="s">
        <v>343</v>
      </c>
      <c r="O146" s="16" t="s">
        <v>343</v>
      </c>
      <c r="Q146" s="16" t="s">
        <v>343</v>
      </c>
    </row>
    <row r="147" spans="13:17">
      <c r="M147" s="16" t="s">
        <v>343</v>
      </c>
      <c r="O147" s="16" t="s">
        <v>343</v>
      </c>
      <c r="Q147" s="16" t="s">
        <v>343</v>
      </c>
    </row>
    <row r="148" spans="13:17">
      <c r="M148" s="16" t="s">
        <v>343</v>
      </c>
      <c r="O148" s="16" t="s">
        <v>343</v>
      </c>
      <c r="Q148" s="16" t="s">
        <v>343</v>
      </c>
    </row>
    <row r="149" spans="13:17">
      <c r="M149" s="16" t="s">
        <v>343</v>
      </c>
      <c r="O149" s="16" t="s">
        <v>343</v>
      </c>
      <c r="Q149" s="16" t="s">
        <v>343</v>
      </c>
    </row>
    <row r="150" spans="13:17">
      <c r="M150" s="16" t="s">
        <v>343</v>
      </c>
      <c r="O150" s="16" t="s">
        <v>343</v>
      </c>
      <c r="Q150" s="16" t="s">
        <v>343</v>
      </c>
    </row>
    <row r="151" spans="13:17">
      <c r="M151" s="16" t="s">
        <v>343</v>
      </c>
      <c r="O151" s="16" t="s">
        <v>343</v>
      </c>
      <c r="Q151" s="16" t="s">
        <v>343</v>
      </c>
    </row>
    <row r="152" spans="13:17">
      <c r="M152" s="16" t="s">
        <v>343</v>
      </c>
      <c r="O152" s="16" t="s">
        <v>343</v>
      </c>
      <c r="Q152" s="16" t="s">
        <v>343</v>
      </c>
    </row>
    <row r="153" spans="13:17">
      <c r="M153" s="16" t="s">
        <v>343</v>
      </c>
      <c r="O153" s="16" t="s">
        <v>343</v>
      </c>
      <c r="Q153" s="16" t="s">
        <v>343</v>
      </c>
    </row>
    <row r="154" spans="13:17">
      <c r="M154" s="16" t="s">
        <v>343</v>
      </c>
      <c r="O154" s="16" t="s">
        <v>343</v>
      </c>
      <c r="Q154" s="16" t="s">
        <v>343</v>
      </c>
    </row>
    <row r="155" spans="13:17">
      <c r="M155" s="16" t="s">
        <v>343</v>
      </c>
      <c r="O155" s="16" t="s">
        <v>343</v>
      </c>
      <c r="Q155" s="16" t="s">
        <v>343</v>
      </c>
    </row>
    <row r="156" spans="13:17">
      <c r="M156" s="16" t="s">
        <v>343</v>
      </c>
      <c r="O156" s="16" t="s">
        <v>343</v>
      </c>
      <c r="Q156" s="16" t="s">
        <v>343</v>
      </c>
    </row>
    <row r="157" spans="13:17">
      <c r="M157" s="16" t="s">
        <v>343</v>
      </c>
      <c r="O157" s="16" t="s">
        <v>343</v>
      </c>
      <c r="Q157" s="16" t="s">
        <v>343</v>
      </c>
    </row>
    <row r="158" spans="13:17">
      <c r="M158" s="16" t="s">
        <v>343</v>
      </c>
      <c r="O158" s="16" t="s">
        <v>343</v>
      </c>
      <c r="Q158" s="16" t="s">
        <v>343</v>
      </c>
    </row>
    <row r="159" spans="13:17">
      <c r="M159" s="16" t="s">
        <v>343</v>
      </c>
      <c r="O159" s="16" t="s">
        <v>343</v>
      </c>
      <c r="Q159" s="16" t="s">
        <v>343</v>
      </c>
    </row>
    <row r="160" spans="13:17">
      <c r="M160" s="16" t="s">
        <v>343</v>
      </c>
      <c r="O160" s="16" t="s">
        <v>343</v>
      </c>
      <c r="Q160" s="16" t="s">
        <v>343</v>
      </c>
    </row>
    <row r="161" spans="13:17">
      <c r="M161" s="16" t="s">
        <v>343</v>
      </c>
      <c r="O161" s="16" t="s">
        <v>343</v>
      </c>
      <c r="Q161" s="16" t="s">
        <v>343</v>
      </c>
    </row>
    <row r="162" spans="13:17">
      <c r="M162" s="16" t="s">
        <v>343</v>
      </c>
      <c r="O162" s="16" t="s">
        <v>343</v>
      </c>
      <c r="Q162" s="16" t="s">
        <v>343</v>
      </c>
    </row>
    <row r="163" spans="13:17">
      <c r="M163" s="16" t="s">
        <v>343</v>
      </c>
      <c r="O163" s="16" t="s">
        <v>343</v>
      </c>
      <c r="Q163" s="16" t="s">
        <v>343</v>
      </c>
    </row>
    <row r="164" spans="13:17">
      <c r="M164" s="16" t="s">
        <v>343</v>
      </c>
      <c r="O164" s="16" t="s">
        <v>343</v>
      </c>
      <c r="Q164" s="16" t="s">
        <v>343</v>
      </c>
    </row>
    <row r="165" spans="13:17">
      <c r="M165" s="16" t="s">
        <v>343</v>
      </c>
      <c r="O165" s="16" t="s">
        <v>343</v>
      </c>
      <c r="Q165" s="16" t="s">
        <v>343</v>
      </c>
    </row>
    <row r="166" spans="13:17">
      <c r="M166" s="16" t="s">
        <v>343</v>
      </c>
      <c r="O166" s="16" t="s">
        <v>343</v>
      </c>
      <c r="Q166" s="16" t="s">
        <v>343</v>
      </c>
    </row>
    <row r="167" spans="13:17">
      <c r="M167" s="16" t="s">
        <v>343</v>
      </c>
      <c r="O167" s="16" t="s">
        <v>343</v>
      </c>
      <c r="Q167" s="16" t="s">
        <v>343</v>
      </c>
    </row>
    <row r="168" spans="13:17">
      <c r="M168" s="16" t="s">
        <v>343</v>
      </c>
      <c r="O168" s="16" t="s">
        <v>343</v>
      </c>
      <c r="Q168" s="16" t="s">
        <v>343</v>
      </c>
    </row>
    <row r="169" spans="13:17">
      <c r="M169" s="16" t="s">
        <v>343</v>
      </c>
      <c r="O169" s="16" t="s">
        <v>343</v>
      </c>
      <c r="Q169" s="16" t="s">
        <v>343</v>
      </c>
    </row>
    <row r="170" spans="13:17">
      <c r="M170" s="16" t="s">
        <v>343</v>
      </c>
      <c r="O170" s="16" t="s">
        <v>343</v>
      </c>
      <c r="Q170" s="16" t="s">
        <v>343</v>
      </c>
    </row>
    <row r="171" spans="13:17">
      <c r="M171" s="16" t="s">
        <v>343</v>
      </c>
      <c r="O171" s="16" t="s">
        <v>343</v>
      </c>
      <c r="Q171" s="16" t="s">
        <v>343</v>
      </c>
    </row>
    <row r="172" spans="13:17">
      <c r="M172" s="16" t="s">
        <v>343</v>
      </c>
      <c r="O172" s="16" t="s">
        <v>343</v>
      </c>
      <c r="Q172" s="16" t="s">
        <v>343</v>
      </c>
    </row>
    <row r="173" spans="13:17">
      <c r="M173" s="16" t="s">
        <v>343</v>
      </c>
      <c r="O173" s="16" t="s">
        <v>343</v>
      </c>
      <c r="Q173" s="16" t="s">
        <v>343</v>
      </c>
    </row>
    <row r="174" spans="13:17">
      <c r="M174" s="16" t="s">
        <v>343</v>
      </c>
      <c r="O174" s="16" t="s">
        <v>343</v>
      </c>
      <c r="Q174" s="16" t="s">
        <v>343</v>
      </c>
    </row>
    <row r="175" spans="13:17">
      <c r="M175" s="16" t="s">
        <v>343</v>
      </c>
      <c r="O175" s="16" t="s">
        <v>343</v>
      </c>
      <c r="Q175" s="16" t="s">
        <v>343</v>
      </c>
    </row>
    <row r="176" spans="13:17">
      <c r="M176" s="16" t="s">
        <v>343</v>
      </c>
      <c r="O176" s="16" t="s">
        <v>343</v>
      </c>
      <c r="Q176" s="16" t="s">
        <v>343</v>
      </c>
    </row>
    <row r="177" spans="13:17">
      <c r="M177" s="16" t="s">
        <v>343</v>
      </c>
      <c r="O177" s="16" t="s">
        <v>343</v>
      </c>
      <c r="Q177" s="16" t="s">
        <v>343</v>
      </c>
    </row>
    <row r="178" spans="13:17">
      <c r="M178" s="16" t="s">
        <v>343</v>
      </c>
      <c r="O178" s="16" t="s">
        <v>343</v>
      </c>
      <c r="Q178" s="16" t="s">
        <v>343</v>
      </c>
    </row>
    <row r="179" spans="13:17">
      <c r="M179" s="16" t="s">
        <v>343</v>
      </c>
      <c r="O179" s="16" t="s">
        <v>343</v>
      </c>
      <c r="Q179" s="16" t="s">
        <v>343</v>
      </c>
    </row>
    <row r="180" spans="13:17">
      <c r="M180" s="16" t="s">
        <v>343</v>
      </c>
      <c r="O180" s="16" t="s">
        <v>343</v>
      </c>
      <c r="Q180" s="16" t="s">
        <v>343</v>
      </c>
    </row>
    <row r="181" spans="13:17">
      <c r="M181" s="16" t="s">
        <v>343</v>
      </c>
      <c r="O181" s="16" t="s">
        <v>343</v>
      </c>
      <c r="Q181" s="16" t="s">
        <v>343</v>
      </c>
    </row>
    <row r="182" spans="13:17">
      <c r="M182" s="16" t="s">
        <v>343</v>
      </c>
      <c r="O182" s="16" t="s">
        <v>343</v>
      </c>
      <c r="Q182" s="16" t="s">
        <v>343</v>
      </c>
    </row>
    <row r="183" spans="13:17">
      <c r="M183" s="16" t="s">
        <v>343</v>
      </c>
      <c r="O183" s="16" t="s">
        <v>343</v>
      </c>
      <c r="Q183" s="16" t="s">
        <v>343</v>
      </c>
    </row>
    <row r="184" spans="13:17">
      <c r="M184" s="16" t="s">
        <v>343</v>
      </c>
      <c r="O184" s="16" t="s">
        <v>343</v>
      </c>
      <c r="Q184" s="16" t="s">
        <v>343</v>
      </c>
    </row>
    <row r="185" spans="13:17">
      <c r="M185" s="16" t="s">
        <v>343</v>
      </c>
      <c r="O185" s="16" t="s">
        <v>343</v>
      </c>
      <c r="Q185" s="16" t="s">
        <v>343</v>
      </c>
    </row>
    <row r="186" spans="13:13">
      <c r="M186" s="16" t="s">
        <v>343</v>
      </c>
    </row>
    <row r="187" spans="13:13">
      <c r="M187" s="16" t="s">
        <v>343</v>
      </c>
    </row>
    <row r="188" spans="13:13">
      <c r="M188" s="16" t="s">
        <v>343</v>
      </c>
    </row>
    <row r="189" spans="13:13">
      <c r="M189" s="16" t="s">
        <v>343</v>
      </c>
    </row>
    <row r="190" spans="13:13">
      <c r="M190" s="16" t="s">
        <v>343</v>
      </c>
    </row>
    <row r="191" spans="13:13">
      <c r="M191" s="16" t="s">
        <v>343</v>
      </c>
    </row>
    <row r="192" spans="13:13">
      <c r="M192" s="16" t="s">
        <v>343</v>
      </c>
    </row>
    <row r="193" spans="13:13">
      <c r="M193" s="16" t="s">
        <v>343</v>
      </c>
    </row>
    <row r="194" spans="13:13">
      <c r="M194" s="16" t="s">
        <v>343</v>
      </c>
    </row>
    <row r="195" spans="13:13">
      <c r="M195" s="16" t="s">
        <v>343</v>
      </c>
    </row>
    <row r="196" spans="13:13">
      <c r="M196" s="16" t="s">
        <v>343</v>
      </c>
    </row>
    <row r="197" spans="13:13">
      <c r="M197" s="16" t="s">
        <v>343</v>
      </c>
    </row>
    <row r="198" spans="13:13">
      <c r="M198" s="16" t="s">
        <v>343</v>
      </c>
    </row>
    <row r="199" spans="13:13">
      <c r="M199" s="16" t="s">
        <v>343</v>
      </c>
    </row>
    <row r="200" spans="13:13">
      <c r="M200" s="16" t="s">
        <v>343</v>
      </c>
    </row>
    <row r="201" spans="13:13">
      <c r="M201" s="16" t="s">
        <v>343</v>
      </c>
    </row>
    <row r="202" spans="13:13">
      <c r="M202" s="16" t="s">
        <v>343</v>
      </c>
    </row>
    <row r="203" spans="13:13">
      <c r="M203" s="16" t="s">
        <v>343</v>
      </c>
    </row>
    <row r="204" spans="13:13">
      <c r="M204" s="16" t="s">
        <v>343</v>
      </c>
    </row>
    <row r="205" spans="13:13">
      <c r="M205" s="16" t="s">
        <v>343</v>
      </c>
    </row>
    <row r="206" spans="13:13">
      <c r="M206" s="16" t="s">
        <v>343</v>
      </c>
    </row>
    <row r="207" spans="13:13">
      <c r="M207" s="16" t="s">
        <v>343</v>
      </c>
    </row>
    <row r="208" spans="13:13">
      <c r="M208" s="16" t="s">
        <v>343</v>
      </c>
    </row>
    <row r="209" spans="13:13">
      <c r="M209" s="16" t="s">
        <v>343</v>
      </c>
    </row>
    <row r="210" spans="13:13">
      <c r="M210" s="16" t="s">
        <v>343</v>
      </c>
    </row>
    <row r="211" spans="13:13">
      <c r="M211" s="16" t="s">
        <v>343</v>
      </c>
    </row>
    <row r="212" spans="13:13">
      <c r="M212" s="16" t="s">
        <v>343</v>
      </c>
    </row>
    <row r="213" spans="13:13">
      <c r="M213" s="16" t="s">
        <v>343</v>
      </c>
    </row>
    <row r="214" spans="13:13">
      <c r="M214" s="16" t="s">
        <v>343</v>
      </c>
    </row>
    <row r="215" spans="13:13">
      <c r="M215" s="16" t="s">
        <v>343</v>
      </c>
    </row>
    <row r="216" spans="13:13">
      <c r="M216" s="16" t="s">
        <v>343</v>
      </c>
    </row>
    <row r="217" spans="13:13">
      <c r="M217" s="16" t="s">
        <v>343</v>
      </c>
    </row>
    <row r="218" spans="13:13">
      <c r="M218" s="16" t="s">
        <v>343</v>
      </c>
    </row>
    <row r="219" spans="13:13">
      <c r="M219" s="16" t="s">
        <v>343</v>
      </c>
    </row>
    <row r="220" spans="13:13">
      <c r="M220" s="16" t="s">
        <v>343</v>
      </c>
    </row>
    <row r="221" spans="13:13">
      <c r="M221" s="16" t="s">
        <v>343</v>
      </c>
    </row>
    <row r="222" spans="13:13">
      <c r="M222" s="16" t="s">
        <v>343</v>
      </c>
    </row>
    <row r="223" spans="13:13">
      <c r="M223" s="16" t="s">
        <v>343</v>
      </c>
    </row>
    <row r="224" spans="13:13">
      <c r="M224" s="16" t="s">
        <v>343</v>
      </c>
    </row>
    <row r="225" spans="13:13">
      <c r="M225" s="16" t="s">
        <v>343</v>
      </c>
    </row>
    <row r="226" spans="13:13">
      <c r="M226" s="16" t="s">
        <v>343</v>
      </c>
    </row>
    <row r="227" spans="13:13">
      <c r="M227" s="16" t="s">
        <v>343</v>
      </c>
    </row>
    <row r="228" spans="13:13">
      <c r="M228" s="16" t="s">
        <v>343</v>
      </c>
    </row>
    <row r="229" spans="13:13">
      <c r="M229" s="16" t="s">
        <v>343</v>
      </c>
    </row>
    <row r="230" spans="13:13">
      <c r="M230" s="16" t="s">
        <v>343</v>
      </c>
    </row>
    <row r="231" spans="13:13">
      <c r="M231" s="16" t="s">
        <v>343</v>
      </c>
    </row>
    <row r="232" spans="13:13">
      <c r="M232" s="16" t="s">
        <v>343</v>
      </c>
    </row>
    <row r="233" spans="13:13">
      <c r="M233" s="16" t="s">
        <v>343</v>
      </c>
    </row>
    <row r="234" spans="13:13">
      <c r="M234" s="16" t="s">
        <v>343</v>
      </c>
    </row>
    <row r="235" spans="13:13">
      <c r="M235" s="16" t="s">
        <v>343</v>
      </c>
    </row>
    <row r="236" spans="13:13">
      <c r="M236" s="16" t="s">
        <v>343</v>
      </c>
    </row>
  </sheetData>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54"/>
  <sheetViews>
    <sheetView topLeftCell="A40" workbookViewId="0">
      <selection activeCell="E59" sqref="E59"/>
    </sheetView>
  </sheetViews>
  <sheetFormatPr defaultColWidth="9" defaultRowHeight="13.5"/>
  <cols>
    <col min="2" max="2" width="24.875" customWidth="1"/>
    <col min="3" max="3" width="13.625" customWidth="1"/>
  </cols>
  <sheetData>
    <row r="1" s="5" customFormat="1" ht="20.1" customHeight="1" spans="2:13">
      <c r="B1" s="7" t="s">
        <v>345</v>
      </c>
      <c r="C1" s="7" t="s">
        <v>346</v>
      </c>
      <c r="E1" s="5" t="s">
        <v>347</v>
      </c>
      <c r="F1" s="5" t="s">
        <v>348</v>
      </c>
      <c r="J1" s="7" t="s">
        <v>345</v>
      </c>
      <c r="K1" s="7" t="s">
        <v>346</v>
      </c>
      <c r="L1" s="5" t="s">
        <v>347</v>
      </c>
      <c r="M1" s="5" t="s">
        <v>348</v>
      </c>
    </row>
    <row r="2" s="5" customFormat="1" ht="20.1" customHeight="1" spans="1:13">
      <c r="A2" s="8">
        <f>IF(B2="",IF(E2="","",1),1)</f>
        <v>1</v>
      </c>
      <c r="B2" s="8" t="s">
        <v>349</v>
      </c>
      <c r="C2" s="8" t="s">
        <v>349</v>
      </c>
      <c r="E2" s="9" t="s">
        <v>350</v>
      </c>
      <c r="F2" s="9" t="s">
        <v>350</v>
      </c>
      <c r="J2" s="5" t="str">
        <f>IF(A2="","",B2&amp;";")&amp;IF(A3="","",B3&amp;";")&amp;IF(A4="","",B4&amp;";")&amp;IF(A5="","",B5&amp;";")&amp;IF(A6="","",B6&amp;";")&amp;IF(A7="","",B7&amp;";")&amp;IF(A8="","",B8&amp;";")&amp;IF(A93="","",B93&amp;";")&amp;IF(A94="","",B94&amp;";")</f>
        <v>不可思议！你是我这么长时间见到第一个能把饥饿龙杀死的挑战者。;我这里有点药，你先拿去包扎一下伤口吧.;哈哈，我喜欢你的这个脾气，跟我小时候一样！这个装备你拿着，一定能帮你很大的忙！;</v>
      </c>
      <c r="K2" s="5" t="str">
        <f>IF(A2="","",C2&amp;";")&amp;IF(A3="","",C3&amp;";")&amp;IF(A4="","",C4&amp;";")&amp;IF(A5="","",C5&amp;";")&amp;IF(A6="","",C6&amp;";")&amp;IF(A7="","",C7&amp;";")&amp;IF(A8="","",C8&amp;";")&amp;IF(A93="","",C93&amp;";")&amp;IF(A94="","",C94&amp;";")</f>
        <v>不可思议！你是我这么长时间见到第一个能把饥饿龙杀死的挑战者。;我这里有点药，你先拿去包扎一下伤口吧.;哎呀，刚想起来药用完了，那我给你包扎一下吧！十分钟后……  好啦 包扎好了！既然好了，那个极品装备你也用不上啦！再见！;</v>
      </c>
      <c r="L2" s="5" t="str">
        <f>IF(A2="","",E2&amp;";")&amp;IF(A3="","",E3&amp;";")&amp;IF(A4="","",E4&amp;";")&amp;IF(A5="","",E5&amp;";")&amp;IF(A6="","",E6&amp;";")&amp;IF(A7="","",E7&amp;";")&amp;IF(A8="","",E8&amp;";")&amp;IF(A93="","",E93&amp;";")&amp;IF(A94="","",E94&amp;";")</f>
        <v>嘿嘿，虽然受了点伤，但是应该没什么问题。;;谢谢，那我继续挑战后面的怪物啦！;</v>
      </c>
      <c r="M2" s="5" t="str">
        <f>IF(A2="","",F2&amp;";")&amp;IF(A3="","",F3&amp;";")&amp;IF(A4="","",F4&amp;";")&amp;IF(A5="","",F5&amp;";")&amp;IF(A6="","",F6&amp;";")&amp;IF(A7="","",F7&amp;";")&amp;IF(A8="","",F8&amp;";")&amp;IF(A93="","",F93&amp;";")&amp;IF(A94="","",F94&amp;";")</f>
        <v>嘿嘿，虽然受了点伤，但是应该没什么问题。;;谢谢，那我继续挑战后面的怪物啦！;</v>
      </c>
    </row>
    <row r="3" s="5" customFormat="1" ht="20.1" customHeight="1" spans="1:6">
      <c r="A3" s="8">
        <f t="shared" ref="A3:A95" si="0">IF(B3="",IF(E3="","",1),1)</f>
        <v>1</v>
      </c>
      <c r="B3" s="9" t="s">
        <v>351</v>
      </c>
      <c r="C3" s="9" t="s">
        <v>351</v>
      </c>
      <c r="E3" s="8"/>
      <c r="F3" s="8"/>
    </row>
    <row r="4" s="5" customFormat="1" ht="20.1" customHeight="1" spans="1:13">
      <c r="A4" s="8">
        <f t="shared" si="0"/>
        <v>1</v>
      </c>
      <c r="B4" s="9" t="s">
        <v>352</v>
      </c>
      <c r="C4" s="9" t="s">
        <v>353</v>
      </c>
      <c r="E4" s="5" t="s">
        <v>354</v>
      </c>
      <c r="F4" s="5" t="s">
        <v>354</v>
      </c>
      <c r="J4" s="5" t="str">
        <f>IF(J2="","",LEFT(J2,LEN(J2)-1))</f>
        <v>不可思议！你是我这么长时间见到第一个能把饥饿龙杀死的挑战者。;我这里有点药，你先拿去包扎一下伤口吧.;哈哈，我喜欢你的这个脾气，跟我小时候一样！这个装备你拿着，一定能帮你很大的忙！</v>
      </c>
      <c r="K4" s="5" t="str">
        <f>IF(K2="","",LEFT(K2,LEN(K2)-1))</f>
        <v>不可思议！你是我这么长时间见到第一个能把饥饿龙杀死的挑战者。;我这里有点药，你先拿去包扎一下伤口吧.;哎呀，刚想起来药用完了，那我给你包扎一下吧！十分钟后……  好啦 包扎好了！既然好了，那个极品装备你也用不上啦！再见！</v>
      </c>
      <c r="L4" s="5" t="str">
        <f>IF(L2="","",LEFT(L2,LEN(L2)-1))</f>
        <v>嘿嘿，虽然受了点伤，但是应该没什么问题。;;谢谢，那我继续挑战后面的怪物啦！</v>
      </c>
      <c r="M4" s="5" t="str">
        <f>IF(M2="","",LEFT(M2,LEN(M2)-1))</f>
        <v>嘿嘿，虽然受了点伤，但是应该没什么问题。;;谢谢，那我继续挑战后面的怪物啦！</v>
      </c>
    </row>
    <row r="5" s="5" customFormat="1" ht="20.1" customHeight="1" spans="1:3">
      <c r="A5" s="8" t="str">
        <f t="shared" si="0"/>
        <v/>
      </c>
      <c r="B5" s="9"/>
      <c r="C5" s="9"/>
    </row>
    <row r="6" s="5" customFormat="1" ht="20.1" customHeight="1" spans="1:3">
      <c r="A6" s="8" t="str">
        <f t="shared" si="0"/>
        <v/>
      </c>
      <c r="B6" s="9"/>
      <c r="C6" s="9"/>
    </row>
    <row r="7" s="5" customFormat="1" ht="20.1" customHeight="1" spans="1:1">
      <c r="A7" s="8" t="str">
        <f t="shared" si="0"/>
        <v/>
      </c>
    </row>
    <row r="8" s="5" customFormat="1" ht="20.1" customHeight="1" spans="1:1">
      <c r="A8" s="8" t="str">
        <f t="shared" si="0"/>
        <v/>
      </c>
    </row>
    <row r="9" s="5" customFormat="1" ht="20.1" customHeight="1" spans="1:1">
      <c r="A9" s="8" t="str">
        <f t="shared" si="0"/>
        <v/>
      </c>
    </row>
    <row r="10" s="5" customFormat="1" ht="20.1" customHeight="1" spans="1:1">
      <c r="A10" s="8" t="str">
        <f t="shared" si="0"/>
        <v/>
      </c>
    </row>
    <row r="11" s="5" customFormat="1" ht="20.1" customHeight="1" spans="1:1">
      <c r="A11" s="8" t="str">
        <f t="shared" si="0"/>
        <v/>
      </c>
    </row>
    <row r="12" s="5" customFormat="1" ht="20.1" customHeight="1"/>
    <row r="13" s="5" customFormat="1" ht="20.1" customHeight="1"/>
    <row r="14" s="5" customFormat="1" ht="20.1" customHeight="1"/>
    <row r="15" s="5" customFormat="1" ht="20.1" customHeight="1" spans="9:10">
      <c r="I15" s="8"/>
      <c r="J15" s="8">
        <v>55555</v>
      </c>
    </row>
    <row r="16" s="5" customFormat="1" ht="20.1" customHeight="1" spans="8:13">
      <c r="H16" s="5" t="s">
        <v>355</v>
      </c>
      <c r="I16" s="8">
        <v>4</v>
      </c>
      <c r="J16" s="5" t="s">
        <v>313</v>
      </c>
      <c r="K16" s="5" t="s">
        <v>315</v>
      </c>
      <c r="L16" s="5" t="s">
        <v>317</v>
      </c>
      <c r="M16" s="5" t="s">
        <v>317</v>
      </c>
    </row>
    <row r="17" s="5" customFormat="1" ht="20.1" customHeight="1" spans="9:9">
      <c r="I17" s="8"/>
    </row>
    <row r="18" s="5" customFormat="1" ht="20.1" customHeight="1" spans="8:13">
      <c r="H18" s="5" t="s">
        <v>320</v>
      </c>
      <c r="I18" s="8">
        <v>2</v>
      </c>
      <c r="J18" s="5" t="s">
        <v>322</v>
      </c>
      <c r="K18" s="5" t="s">
        <v>324</v>
      </c>
      <c r="L18" s="5" t="s">
        <v>326</v>
      </c>
      <c r="M18" s="5" t="s">
        <v>326</v>
      </c>
    </row>
    <row r="19" s="5" customFormat="1" ht="20.1" customHeight="1" spans="9:9">
      <c r="I19" s="8"/>
    </row>
    <row r="20" s="5" customFormat="1" ht="20.1" customHeight="1" spans="8:13">
      <c r="H20" s="5" t="s">
        <v>356</v>
      </c>
      <c r="I20" s="8">
        <v>6</v>
      </c>
      <c r="J20" s="5" t="s">
        <v>330</v>
      </c>
      <c r="K20" s="5" t="s">
        <v>332</v>
      </c>
      <c r="L20" s="5" t="s">
        <v>357</v>
      </c>
      <c r="M20" s="5" t="s">
        <v>357</v>
      </c>
    </row>
    <row r="21" s="5" customFormat="1" ht="20.1" customHeight="1" spans="9:9">
      <c r="I21" s="8"/>
    </row>
    <row r="22" s="5" customFormat="1" ht="20.1" customHeight="1" spans="9:13">
      <c r="I22" s="8"/>
      <c r="J22" s="5" t="s">
        <v>337</v>
      </c>
      <c r="K22" s="5" t="s">
        <v>337</v>
      </c>
      <c r="L22" s="5" t="s">
        <v>339</v>
      </c>
      <c r="M22" s="5" t="s">
        <v>339</v>
      </c>
    </row>
    <row r="23" s="5" customFormat="1" ht="20.1" customHeight="1" spans="9:9">
      <c r="I23" s="8"/>
    </row>
    <row r="24" s="5" customFormat="1" ht="20.1" customHeight="1" spans="9:13">
      <c r="I24" s="8"/>
      <c r="J24" s="10" t="s">
        <v>358</v>
      </c>
      <c r="K24" s="10" t="s">
        <v>343</v>
      </c>
      <c r="L24" s="10" t="s">
        <v>343</v>
      </c>
      <c r="M24" s="10" t="s">
        <v>343</v>
      </c>
    </row>
    <row r="25" s="5" customFormat="1" ht="20.1" customHeight="1"/>
    <row r="26" s="5" customFormat="1" ht="20.1" customHeight="1"/>
    <row r="27" s="5" customFormat="1" ht="20.1" customHeight="1"/>
    <row r="28" s="5" customFormat="1" ht="20.1" customHeight="1"/>
    <row r="29" s="5" customFormat="1" ht="20.1" customHeight="1"/>
    <row r="30" s="5" customFormat="1" ht="20.1" customHeight="1"/>
    <row r="31" s="5" customFormat="1" ht="20.1" customHeight="1"/>
    <row r="32" s="5" customFormat="1" ht="20.1" customHeight="1"/>
    <row r="33" s="5" customFormat="1" ht="20.1" customHeight="1"/>
    <row r="34" s="5" customFormat="1" ht="20.1" customHeight="1"/>
    <row r="35" s="5" customFormat="1" ht="20.1" customHeight="1"/>
    <row r="36" s="5" customFormat="1" ht="20.1" customHeight="1" spans="10:10">
      <c r="J36" s="5">
        <v>444</v>
      </c>
    </row>
    <row r="37" s="5" customFormat="1" ht="20.1" customHeight="1" spans="8:13">
      <c r="H37" s="5" t="s">
        <v>262</v>
      </c>
      <c r="I37" s="5">
        <v>2</v>
      </c>
      <c r="J37" s="5" t="s">
        <v>264</v>
      </c>
      <c r="K37" s="5" t="s">
        <v>266</v>
      </c>
      <c r="L37" s="5" t="s">
        <v>268</v>
      </c>
      <c r="M37" s="5" t="s">
        <v>268</v>
      </c>
    </row>
    <row r="38" s="5" customFormat="1" ht="20.1" customHeight="1"/>
    <row r="39" s="5" customFormat="1" ht="20.1" customHeight="1" spans="8:13">
      <c r="H39" s="5" t="s">
        <v>272</v>
      </c>
      <c r="I39" s="5">
        <v>3</v>
      </c>
      <c r="J39" s="5" t="s">
        <v>274</v>
      </c>
      <c r="K39" s="5" t="s">
        <v>276</v>
      </c>
      <c r="L39" s="5" t="s">
        <v>278</v>
      </c>
      <c r="M39" s="5" t="s">
        <v>278</v>
      </c>
    </row>
    <row r="40" s="5" customFormat="1" ht="20.1" customHeight="1"/>
    <row r="41" s="5" customFormat="1" ht="20.1" customHeight="1" spans="8:13">
      <c r="H41" s="5" t="s">
        <v>282</v>
      </c>
      <c r="I41" s="5">
        <v>7</v>
      </c>
      <c r="J41" s="5" t="s">
        <v>359</v>
      </c>
      <c r="K41" s="5" t="s">
        <v>359</v>
      </c>
      <c r="L41" s="5" t="s">
        <v>360</v>
      </c>
      <c r="M41" s="5" t="s">
        <v>360</v>
      </c>
    </row>
    <row r="42" s="5" customFormat="1" ht="20.1" customHeight="1"/>
    <row r="43" s="5" customFormat="1" ht="20.1" customHeight="1" spans="8:13">
      <c r="H43" s="9" t="s">
        <v>290</v>
      </c>
      <c r="I43" s="5">
        <v>4</v>
      </c>
      <c r="J43" s="5" t="s">
        <v>292</v>
      </c>
      <c r="K43" s="5" t="s">
        <v>294</v>
      </c>
      <c r="L43" s="5" t="s">
        <v>296</v>
      </c>
      <c r="M43" s="5" t="s">
        <v>296</v>
      </c>
    </row>
    <row r="44" s="5" customFormat="1" ht="20.1" customHeight="1"/>
    <row r="45" s="5" customFormat="1" ht="20.1" customHeight="1" spans="8:13">
      <c r="H45" s="5" t="s">
        <v>300</v>
      </c>
      <c r="I45" s="5">
        <v>2</v>
      </c>
      <c r="J45" s="5" t="s">
        <v>302</v>
      </c>
      <c r="K45" s="5" t="s">
        <v>304</v>
      </c>
      <c r="L45" s="5" t="s">
        <v>306</v>
      </c>
      <c r="M45" s="5" t="s">
        <v>306</v>
      </c>
    </row>
    <row r="46" s="5" customFormat="1" ht="20.1" customHeight="1"/>
    <row r="47" s="5" customFormat="1" ht="20.1" customHeight="1"/>
    <row r="48" s="5" customFormat="1" ht="20.1" customHeight="1"/>
    <row r="49" s="5" customFormat="1" ht="20.1" customHeight="1"/>
    <row r="50" s="5" customFormat="1" ht="20.1" customHeight="1" spans="10:10">
      <c r="J50" s="5">
        <v>33333</v>
      </c>
    </row>
    <row r="51" s="5" customFormat="1" ht="20.1" customHeight="1" spans="10:13">
      <c r="J51" s="5" t="s">
        <v>208</v>
      </c>
      <c r="K51" s="5" t="s">
        <v>208</v>
      </c>
      <c r="L51" s="5" t="s">
        <v>211</v>
      </c>
      <c r="M51" s="5" t="s">
        <v>211</v>
      </c>
    </row>
    <row r="52" s="5" customFormat="1" ht="20.1" customHeight="1"/>
    <row r="53" s="5" customFormat="1" ht="20.1" customHeight="1" spans="8:13">
      <c r="H53" s="5" t="s">
        <v>361</v>
      </c>
      <c r="I53" s="8">
        <v>2</v>
      </c>
      <c r="J53" s="5" t="s">
        <v>362</v>
      </c>
      <c r="K53" s="5" t="s">
        <v>363</v>
      </c>
      <c r="L53" s="5" t="s">
        <v>220</v>
      </c>
      <c r="M53" s="5" t="s">
        <v>220</v>
      </c>
    </row>
    <row r="54" s="5" customFormat="1" ht="20.1" customHeight="1"/>
    <row r="55" s="5" customFormat="1" ht="20.1" customHeight="1" spans="8:13">
      <c r="H55" s="9" t="s">
        <v>224</v>
      </c>
      <c r="I55" s="5">
        <v>4</v>
      </c>
      <c r="J55" s="5" t="s">
        <v>226</v>
      </c>
      <c r="K55" s="5" t="s">
        <v>228</v>
      </c>
      <c r="L55" s="5" t="s">
        <v>364</v>
      </c>
      <c r="M55" s="5" t="s">
        <v>364</v>
      </c>
    </row>
    <row r="56" s="5" customFormat="1" ht="20.1" customHeight="1"/>
    <row r="57" s="5" customFormat="1" ht="20.1" customHeight="1" spans="8:13">
      <c r="H57" s="8" t="s">
        <v>234</v>
      </c>
      <c r="I57" s="5">
        <v>4</v>
      </c>
      <c r="J57" s="5" t="s">
        <v>365</v>
      </c>
      <c r="K57" s="5" t="s">
        <v>366</v>
      </c>
      <c r="L57" s="5" t="s">
        <v>240</v>
      </c>
      <c r="M57" s="5" t="s">
        <v>240</v>
      </c>
    </row>
    <row r="58" s="5" customFormat="1" ht="20.1" customHeight="1"/>
    <row r="59" s="5" customFormat="1" ht="20.1" customHeight="1" spans="8:13">
      <c r="H59" s="5" t="s">
        <v>244</v>
      </c>
      <c r="I59" s="8">
        <v>1</v>
      </c>
      <c r="J59" s="5" t="s">
        <v>246</v>
      </c>
      <c r="K59" s="5" t="s">
        <v>248</v>
      </c>
      <c r="L59" s="5" t="s">
        <v>133</v>
      </c>
      <c r="M59" s="5" t="s">
        <v>133</v>
      </c>
    </row>
    <row r="60" s="5" customFormat="1" ht="20.1" customHeight="1"/>
    <row r="61" s="5" customFormat="1" ht="20.1" customHeight="1" spans="8:13">
      <c r="H61" s="10" t="s">
        <v>251</v>
      </c>
      <c r="I61" s="10">
        <v>3</v>
      </c>
      <c r="J61" s="10" t="s">
        <v>253</v>
      </c>
      <c r="K61" s="10" t="s">
        <v>255</v>
      </c>
      <c r="L61" s="10" t="s">
        <v>257</v>
      </c>
      <c r="M61" s="10" t="s">
        <v>257</v>
      </c>
    </row>
    <row r="62" s="5" customFormat="1" ht="20.1" customHeight="1"/>
    <row r="63" s="5" customFormat="1" ht="20.1" customHeight="1"/>
    <row r="64" s="5" customFormat="1" ht="20.1" customHeight="1"/>
    <row r="65" s="5" customFormat="1" ht="20.1" customHeight="1"/>
    <row r="66" s="5" customFormat="1" ht="20.1" customHeight="1"/>
    <row r="67" s="5" customFormat="1" ht="20.1" customHeight="1"/>
    <row r="68" s="5" customFormat="1" ht="20.1" customHeight="1"/>
    <row r="69" s="5" customFormat="1" ht="20.1" customHeight="1" spans="1:10">
      <c r="A69" s="8" t="str">
        <f t="shared" ref="A69:A71" si="1">IF(B69="",IF(E69="","",1),1)</f>
        <v/>
      </c>
      <c r="J69" s="8">
        <v>22222222</v>
      </c>
    </row>
    <row r="70" s="5" customFormat="1" ht="20.1" customHeight="1" spans="1:1">
      <c r="A70" s="8" t="str">
        <f t="shared" si="1"/>
        <v/>
      </c>
    </row>
    <row r="71" s="5" customFormat="1" ht="20.1" customHeight="1" spans="1:13">
      <c r="A71" s="8" t="str">
        <f t="shared" si="1"/>
        <v/>
      </c>
      <c r="J71" s="5" t="s">
        <v>159</v>
      </c>
      <c r="K71" s="5" t="s">
        <v>159</v>
      </c>
      <c r="L71" s="5" t="s">
        <v>162</v>
      </c>
      <c r="M71" s="5" t="s">
        <v>162</v>
      </c>
    </row>
    <row r="72" s="5" customFormat="1" ht="20.1" customHeight="1"/>
    <row r="73" s="5" customFormat="1" ht="20.1" customHeight="1" spans="8:13">
      <c r="H73" s="5" t="s">
        <v>165</v>
      </c>
      <c r="I73" s="8">
        <v>3</v>
      </c>
      <c r="J73" s="5" t="s">
        <v>167</v>
      </c>
      <c r="K73" s="5" t="s">
        <v>169</v>
      </c>
      <c r="L73" s="5" t="s">
        <v>367</v>
      </c>
      <c r="M73" s="5" t="s">
        <v>367</v>
      </c>
    </row>
    <row r="74" s="5" customFormat="1" ht="20.1" customHeight="1"/>
    <row r="75" s="5" customFormat="1" ht="20.1" customHeight="1" spans="8:13">
      <c r="H75" s="5" t="s">
        <v>174</v>
      </c>
      <c r="I75" s="8">
        <v>5</v>
      </c>
      <c r="J75" s="5" t="s">
        <v>176</v>
      </c>
      <c r="K75" s="5" t="s">
        <v>178</v>
      </c>
      <c r="L75" s="5" t="s">
        <v>180</v>
      </c>
      <c r="M75" s="5" t="s">
        <v>180</v>
      </c>
    </row>
    <row r="76" s="5" customFormat="1" ht="20.1" customHeight="1"/>
    <row r="77" s="5" customFormat="1" ht="20.1" customHeight="1" spans="1:13">
      <c r="A77" s="8" t="str">
        <f t="shared" si="0"/>
        <v/>
      </c>
      <c r="H77" s="5" t="s">
        <v>183</v>
      </c>
      <c r="I77" s="8">
        <v>3</v>
      </c>
      <c r="J77" s="5" t="s">
        <v>185</v>
      </c>
      <c r="K77" s="5" t="s">
        <v>187</v>
      </c>
      <c r="L77" s="5" t="s">
        <v>189</v>
      </c>
      <c r="M77" s="5" t="s">
        <v>189</v>
      </c>
    </row>
    <row r="78" s="5" customFormat="1" ht="20.1" customHeight="1" spans="1:1">
      <c r="A78" s="8" t="str">
        <f t="shared" si="0"/>
        <v/>
      </c>
    </row>
    <row r="79" s="5" customFormat="1" ht="20.1" customHeight="1" spans="1:13">
      <c r="A79" s="8" t="str">
        <f t="shared" si="0"/>
        <v/>
      </c>
      <c r="J79" s="5" t="s">
        <v>192</v>
      </c>
      <c r="K79" s="5" t="s">
        <v>192</v>
      </c>
      <c r="L79" s="5" t="s">
        <v>194</v>
      </c>
      <c r="M79" s="5" t="s">
        <v>194</v>
      </c>
    </row>
    <row r="80" s="5" customFormat="1" ht="20.1" customHeight="1"/>
    <row r="81" s="5" customFormat="1" ht="20.1" customHeight="1" spans="8:13">
      <c r="H81" s="9" t="s">
        <v>368</v>
      </c>
      <c r="I81" s="8">
        <v>2</v>
      </c>
      <c r="J81" s="5" t="s">
        <v>198</v>
      </c>
      <c r="K81" s="5" t="s">
        <v>369</v>
      </c>
      <c r="L81" s="5" t="s">
        <v>202</v>
      </c>
      <c r="M81" s="5" t="s">
        <v>202</v>
      </c>
    </row>
    <row r="82" s="5" customFormat="1" ht="20.1" customHeight="1"/>
    <row r="83" s="5" customFormat="1" ht="20.1" customHeight="1"/>
    <row r="84" s="5" customFormat="1" ht="20.1" customHeight="1"/>
    <row r="85" s="5" customFormat="1" ht="20.1" customHeight="1" spans="1:1">
      <c r="A85" s="8" t="str">
        <f t="shared" ref="A85:A87" si="2">IF(B85="",IF(E85="","",1),1)</f>
        <v/>
      </c>
    </row>
    <row r="86" s="5" customFormat="1" ht="20.1" customHeight="1" spans="1:1">
      <c r="A86" s="8" t="str">
        <f t="shared" si="2"/>
        <v/>
      </c>
    </row>
    <row r="87" s="5" customFormat="1" ht="20.1" customHeight="1" spans="1:1">
      <c r="A87" s="8" t="str">
        <f t="shared" si="2"/>
        <v/>
      </c>
    </row>
    <row r="88" s="5" customFormat="1" ht="20.1" customHeight="1"/>
    <row r="89" s="5" customFormat="1" ht="20.1" customHeight="1"/>
    <row r="90" s="5" customFormat="1" ht="20.1" customHeight="1"/>
    <row r="91" s="5" customFormat="1" ht="20.1" customHeight="1"/>
    <row r="92" s="5" customFormat="1" ht="20.1" customHeight="1"/>
    <row r="93" s="5" customFormat="1" ht="20.1" customHeight="1" spans="1:1">
      <c r="A93" s="8" t="str">
        <f t="shared" si="0"/>
        <v/>
      </c>
    </row>
    <row r="94" s="5" customFormat="1" ht="20.1" customHeight="1" spans="1:1">
      <c r="A94" s="8" t="str">
        <f t="shared" si="0"/>
        <v/>
      </c>
    </row>
    <row r="95" s="5" customFormat="1" ht="20.1" customHeight="1" spans="1:1">
      <c r="A95" s="8" t="str">
        <f t="shared" si="0"/>
        <v/>
      </c>
    </row>
    <row r="96" s="5" customFormat="1" ht="20.1" customHeight="1"/>
    <row r="97" s="5" customFormat="1" ht="20.1" customHeight="1"/>
    <row r="98" s="5" customFormat="1" ht="20.1" customHeight="1"/>
    <row r="99" s="5" customFormat="1" ht="20.1" customHeight="1"/>
    <row r="100" s="5" customFormat="1" ht="20.1" customHeight="1"/>
    <row r="101" s="5" customFormat="1" ht="20.1" customHeight="1" spans="10:10">
      <c r="J101" s="5">
        <v>11111</v>
      </c>
    </row>
    <row r="102" s="5" customFormat="1" ht="20.1" customHeight="1" spans="10:13">
      <c r="J102" s="5" t="s">
        <v>370</v>
      </c>
      <c r="K102" s="5" t="s">
        <v>370</v>
      </c>
      <c r="L102" s="5" t="s">
        <v>371</v>
      </c>
      <c r="M102" s="5" t="s">
        <v>371</v>
      </c>
    </row>
    <row r="103" s="5" customFormat="1" ht="20.1" customHeight="1"/>
    <row r="104" s="5" customFormat="1" ht="20.1" customHeight="1" spans="7:13">
      <c r="G104" s="9" t="s">
        <v>89</v>
      </c>
      <c r="H104" s="8">
        <v>2</v>
      </c>
      <c r="J104" s="5" t="s">
        <v>372</v>
      </c>
      <c r="K104" s="5" t="s">
        <v>373</v>
      </c>
      <c r="L104" s="5" t="s">
        <v>95</v>
      </c>
      <c r="M104" s="5" t="s">
        <v>95</v>
      </c>
    </row>
    <row r="105" ht="20.1" customHeight="1" spans="8:8">
      <c r="H105" s="5"/>
    </row>
    <row r="106" ht="20.1" customHeight="1" spans="8:12">
      <c r="H106" s="5"/>
      <c r="J106" s="5" t="str">
        <f>IF(J104="","",LEFT(J104,LEN(J104)-1))</f>
        <v>天呐，你竟然把他给杀死了！;我太崇拜你了！这样吧，多年前我探险的时候无意得到了一个宝物，只要你出200个金币就可以得到它！;你就不怕我是骗子嘛？哈哈！你这么相信我，我也不会让你失望的，这个东西你收好！再见啦，勇士</v>
      </c>
      <c r="K106" s="5" t="str">
        <f>IF(K104="","",LEFT(K104,LEN(K104)-1))</f>
        <v>天呐，你竟然把他给杀死了！;我太崇拜你了！这样吧，多年前我探险的时候无意得到了一个宝物，只要你出200个金币就可以得到它！;哦呦？既然你这样说那就算了吧，有缘下次再见</v>
      </c>
      <c r="L106" s="5" t="str">
        <f>IF(L104="","",LEFT(L104,LEN(L104)-1))</f>
        <v>都说了，这对我来说只是练练手，嘿嘿;</v>
      </c>
    </row>
    <row r="107" s="6" customFormat="1" ht="20.1" customHeight="1" spans="8:8">
      <c r="H107" s="5"/>
    </row>
    <row r="108" s="6" customFormat="1" ht="20.1" customHeight="1" spans="2:23">
      <c r="B108" s="11"/>
      <c r="C108" s="11"/>
      <c r="D108" s="11"/>
      <c r="E108" s="11"/>
      <c r="F108" s="11"/>
      <c r="G108" s="12" t="s">
        <v>374</v>
      </c>
      <c r="H108" s="8">
        <v>3</v>
      </c>
      <c r="I108" s="11"/>
      <c r="J108" s="11" t="s">
        <v>375</v>
      </c>
      <c r="K108" s="11" t="s">
        <v>376</v>
      </c>
      <c r="L108" s="11" t="s">
        <v>377</v>
      </c>
      <c r="M108" s="11" t="s">
        <v>377</v>
      </c>
      <c r="N108" s="11"/>
      <c r="O108" s="11"/>
      <c r="P108" s="11"/>
      <c r="Q108" s="11"/>
      <c r="R108" s="11"/>
      <c r="S108" s="11"/>
      <c r="T108" s="11"/>
      <c r="U108" s="11"/>
      <c r="V108" s="11"/>
      <c r="W108" s="11"/>
    </row>
    <row r="109" s="6" customFormat="1" ht="20.1" customHeight="1" spans="8:8">
      <c r="H109" s="5"/>
    </row>
    <row r="110" s="6" customFormat="1" ht="20.1" customHeight="1" spans="7:13">
      <c r="G110" s="12" t="s">
        <v>109</v>
      </c>
      <c r="H110" s="8">
        <v>2</v>
      </c>
      <c r="J110" s="5" t="s">
        <v>378</v>
      </c>
      <c r="K110" s="5" t="s">
        <v>379</v>
      </c>
      <c r="L110" s="5" t="s">
        <v>380</v>
      </c>
      <c r="M110" s="5" t="s">
        <v>380</v>
      </c>
    </row>
    <row r="111" s="6" customFormat="1" ht="20.1" customHeight="1" spans="8:8">
      <c r="H111" s="5"/>
    </row>
    <row r="112" s="6" customFormat="1" ht="20.1" customHeight="1" spans="7:13">
      <c r="G112" s="12" t="s">
        <v>381</v>
      </c>
      <c r="H112" s="8">
        <v>4</v>
      </c>
      <c r="J112" s="11" t="s">
        <v>382</v>
      </c>
      <c r="K112" s="5" t="s">
        <v>383</v>
      </c>
      <c r="L112" s="5" t="s">
        <v>384</v>
      </c>
      <c r="M112" s="5" t="s">
        <v>384</v>
      </c>
    </row>
    <row r="113" s="6" customFormat="1" ht="20.1" customHeight="1" spans="8:8">
      <c r="H113" s="8"/>
    </row>
    <row r="114" s="6" customFormat="1" ht="20.1" customHeight="1" spans="7:15">
      <c r="G114" s="12" t="s">
        <v>127</v>
      </c>
      <c r="H114" s="8">
        <v>2</v>
      </c>
      <c r="J114" s="11" t="s">
        <v>129</v>
      </c>
      <c r="K114" s="5" t="s">
        <v>385</v>
      </c>
      <c r="L114" s="5" t="s">
        <v>133</v>
      </c>
      <c r="M114" s="5" t="s">
        <v>133</v>
      </c>
      <c r="N114" s="5"/>
      <c r="O114" s="5"/>
    </row>
    <row r="115" ht="20.1" customHeight="1" spans="8:14">
      <c r="H115" s="5"/>
      <c r="J115" s="5"/>
      <c r="K115" s="5"/>
      <c r="L115" s="5"/>
      <c r="M115" s="5"/>
      <c r="N115" s="5"/>
    </row>
    <row r="116" ht="20.1" customHeight="1" spans="7:14">
      <c r="G116" s="12" t="s">
        <v>135</v>
      </c>
      <c r="H116" s="8">
        <v>1</v>
      </c>
      <c r="J116" s="5" t="s">
        <v>386</v>
      </c>
      <c r="K116" s="5" t="s">
        <v>139</v>
      </c>
      <c r="L116" s="5" t="s">
        <v>141</v>
      </c>
      <c r="M116" s="5" t="s">
        <v>141</v>
      </c>
      <c r="N116" s="5"/>
    </row>
    <row r="117" ht="20.1" customHeight="1" spans="8:8">
      <c r="H117" s="5"/>
    </row>
    <row r="118" ht="20.1" customHeight="1" spans="10:13">
      <c r="J118" s="11" t="s">
        <v>143</v>
      </c>
      <c r="K118" s="5" t="s">
        <v>143</v>
      </c>
      <c r="L118" s="5" t="s">
        <v>146</v>
      </c>
      <c r="M118" s="5" t="s">
        <v>146</v>
      </c>
    </row>
    <row r="119" ht="20.1" customHeight="1"/>
    <row r="120" ht="20.1" customHeight="1" spans="1:22">
      <c r="A120" s="11"/>
      <c r="B120" s="11"/>
      <c r="C120" s="11"/>
      <c r="D120" s="11"/>
      <c r="E120" s="11"/>
      <c r="F120" s="11"/>
      <c r="G120" s="12" t="s">
        <v>387</v>
      </c>
      <c r="H120" s="8">
        <v>3</v>
      </c>
      <c r="J120" s="11" t="s">
        <v>388</v>
      </c>
      <c r="K120" s="5" t="s">
        <v>389</v>
      </c>
      <c r="L120" s="5" t="s">
        <v>154</v>
      </c>
      <c r="M120" s="5" t="s">
        <v>154</v>
      </c>
      <c r="N120" s="5"/>
      <c r="O120" s="5"/>
      <c r="P120" s="5"/>
      <c r="Q120" s="5"/>
      <c r="R120" s="5"/>
      <c r="S120" s="5"/>
      <c r="T120" s="5"/>
      <c r="U120" s="5"/>
      <c r="V120" s="5"/>
    </row>
    <row r="121" ht="20.1" customHeight="1"/>
    <row r="122" ht="20.1" customHeight="1"/>
    <row r="123" ht="20.1" customHeight="1"/>
    <row r="124" ht="20.1" customHeight="1"/>
    <row r="125" ht="20.1" customHeight="1"/>
    <row r="126" ht="20.1" customHeight="1"/>
    <row r="127" ht="20.1" customHeight="1"/>
    <row r="128" ht="20.1" customHeight="1"/>
    <row r="129" ht="20.1" customHeight="1"/>
    <row r="130" ht="20.1" customHeight="1"/>
    <row r="131" ht="20.1" customHeight="1"/>
    <row r="132" ht="20.1" customHeight="1"/>
    <row r="133" ht="20.1" customHeight="1"/>
    <row r="134" ht="20.1" customHeight="1"/>
    <row r="135" ht="20.1" customHeight="1"/>
    <row r="136" ht="20.1" customHeight="1"/>
    <row r="137" ht="20.1" customHeight="1"/>
    <row r="138" ht="20.1" customHeight="1"/>
    <row r="139" ht="20.1" customHeight="1"/>
    <row r="140" ht="20.1" customHeight="1"/>
    <row r="141" ht="20.1" customHeight="1"/>
    <row r="142" ht="20.1" customHeight="1"/>
    <row r="143" ht="20.1" customHeight="1"/>
    <row r="144" ht="20.1" customHeight="1"/>
    <row r="145" ht="20.1" customHeight="1"/>
    <row r="146" ht="20.1" customHeight="1"/>
    <row r="147" ht="20.1" customHeight="1"/>
    <row r="148" ht="20.1" customHeight="1"/>
    <row r="149" ht="20.1" customHeight="1"/>
    <row r="150" ht="20.1" customHeight="1"/>
    <row r="151" ht="20.1" customHeight="1"/>
    <row r="152" ht="20.1" customHeight="1"/>
    <row r="153" ht="20.1" customHeight="1"/>
    <row r="154" ht="20.1" customHeight="1"/>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9"/>
  <sheetViews>
    <sheetView workbookViewId="0">
      <selection activeCell="D14" sqref="D14"/>
    </sheetView>
  </sheetViews>
  <sheetFormatPr defaultColWidth="9" defaultRowHeight="13.5"/>
  <cols>
    <col min="1" max="1" width="14" customWidth="1"/>
  </cols>
  <sheetData>
    <row r="1" spans="1:1">
      <c r="A1" s="1" t="s">
        <v>0</v>
      </c>
    </row>
    <row r="2" spans="1:1">
      <c r="A2" s="2" t="s">
        <v>19</v>
      </c>
    </row>
    <row r="3" spans="1:1">
      <c r="A3" s="3">
        <v>8</v>
      </c>
    </row>
    <row r="4" spans="1:1">
      <c r="A4" s="3" t="s">
        <v>21</v>
      </c>
    </row>
    <row r="5" spans="1:1">
      <c r="A5" s="1" t="s">
        <v>22</v>
      </c>
    </row>
    <row r="6" spans="1:1">
      <c r="A6" s="4">
        <v>10010</v>
      </c>
    </row>
    <row r="7" spans="1:1">
      <c r="A7" s="4">
        <v>10020</v>
      </c>
    </row>
    <row r="8" spans="1:1">
      <c r="A8" s="4">
        <v>10030</v>
      </c>
    </row>
    <row r="9" spans="1:1">
      <c r="A9" s="4">
        <v>10040</v>
      </c>
    </row>
    <row r="10" spans="1:1">
      <c r="A10" s="4">
        <v>10050</v>
      </c>
    </row>
    <row r="11" spans="1:1">
      <c r="A11" s="4">
        <v>10060</v>
      </c>
    </row>
    <row r="12" spans="1:1">
      <c r="A12" s="4">
        <v>10070</v>
      </c>
    </row>
    <row r="13" spans="1:1">
      <c r="A13" s="4">
        <v>10080</v>
      </c>
    </row>
    <row r="14" spans="1:1">
      <c r="A14" s="4">
        <v>10090</v>
      </c>
    </row>
    <row r="15" spans="1:1">
      <c r="A15" s="4">
        <v>10100</v>
      </c>
    </row>
    <row r="16" spans="1:1">
      <c r="A16" s="4">
        <v>10110</v>
      </c>
    </row>
    <row r="17" spans="1:1">
      <c r="A17" s="4">
        <v>10120</v>
      </c>
    </row>
    <row r="18" spans="1:1">
      <c r="A18" s="4">
        <v>10130</v>
      </c>
    </row>
    <row r="19" spans="1:1">
      <c r="A19" s="4">
        <v>10140</v>
      </c>
    </row>
    <row r="20" spans="1:1">
      <c r="A20" s="4">
        <v>10150</v>
      </c>
    </row>
    <row r="21" spans="1:1">
      <c r="A21" s="4">
        <v>10160</v>
      </c>
    </row>
    <row r="22" spans="1:1">
      <c r="A22" s="4">
        <v>10170</v>
      </c>
    </row>
    <row r="23" spans="1:1">
      <c r="A23" s="4">
        <v>10180</v>
      </c>
    </row>
    <row r="24" spans="1:1">
      <c r="A24" s="4">
        <v>10190</v>
      </c>
    </row>
    <row r="25" spans="1:1">
      <c r="A25" s="4">
        <v>10200</v>
      </c>
    </row>
    <row r="26" spans="1:1">
      <c r="A26" s="4">
        <v>10210</v>
      </c>
    </row>
    <row r="27" spans="1:1">
      <c r="A27" s="4">
        <v>10220</v>
      </c>
    </row>
    <row r="28" spans="1:1">
      <c r="A28" s="4">
        <v>10230</v>
      </c>
    </row>
    <row r="29" spans="1:1">
      <c r="A29" s="4">
        <v>10240</v>
      </c>
    </row>
    <row r="30" spans="1:1">
      <c r="A30" s="4">
        <v>10250</v>
      </c>
    </row>
    <row r="31" spans="1:1">
      <c r="A31" s="4">
        <v>10260</v>
      </c>
    </row>
    <row r="32" spans="1:1">
      <c r="A32" s="4">
        <v>20010</v>
      </c>
    </row>
    <row r="33" spans="1:1">
      <c r="A33" s="4">
        <v>20020</v>
      </c>
    </row>
    <row r="34" spans="1:1">
      <c r="A34" s="4">
        <v>20030</v>
      </c>
    </row>
    <row r="35" spans="1:1">
      <c r="A35" s="4">
        <v>20040</v>
      </c>
    </row>
    <row r="36" spans="1:1">
      <c r="A36" s="4">
        <v>20050</v>
      </c>
    </row>
    <row r="37" spans="1:1">
      <c r="A37" s="4">
        <v>20060</v>
      </c>
    </row>
    <row r="38" spans="1:1">
      <c r="A38" s="4">
        <v>20070</v>
      </c>
    </row>
    <row r="39" spans="1:1">
      <c r="A39" s="4">
        <v>20080</v>
      </c>
    </row>
    <row r="40" spans="1:1">
      <c r="A40" s="4">
        <v>20090</v>
      </c>
    </row>
    <row r="41" spans="1:1">
      <c r="A41" s="4">
        <v>20100</v>
      </c>
    </row>
    <row r="42" spans="1:1">
      <c r="A42" s="4">
        <v>20110</v>
      </c>
    </row>
    <row r="43" spans="1:1">
      <c r="A43" s="4">
        <v>20120</v>
      </c>
    </row>
    <row r="44" spans="1:1">
      <c r="A44" s="4">
        <v>30010</v>
      </c>
    </row>
    <row r="45" spans="1:1">
      <c r="A45" s="4">
        <v>30020</v>
      </c>
    </row>
    <row r="46" spans="1:1">
      <c r="A46" s="4">
        <v>30030</v>
      </c>
    </row>
    <row r="47" spans="1:1">
      <c r="A47" s="4">
        <v>30040</v>
      </c>
    </row>
    <row r="48" spans="1:1">
      <c r="A48" s="4">
        <v>30050</v>
      </c>
    </row>
    <row r="49" spans="1:1">
      <c r="A49" s="4">
        <v>30060</v>
      </c>
    </row>
    <row r="50" spans="1:1">
      <c r="A50" s="4">
        <v>30070</v>
      </c>
    </row>
    <row r="51" spans="1:1">
      <c r="A51" s="4">
        <v>30080</v>
      </c>
    </row>
    <row r="52" spans="1:1">
      <c r="A52" s="4">
        <v>30090</v>
      </c>
    </row>
    <row r="53" spans="1:1">
      <c r="A53" s="4">
        <v>30100</v>
      </c>
    </row>
    <row r="54" spans="1:1">
      <c r="A54" s="4">
        <v>40010</v>
      </c>
    </row>
    <row r="55" spans="1:1">
      <c r="A55" s="4">
        <v>40020</v>
      </c>
    </row>
    <row r="56" spans="1:1">
      <c r="A56" s="4">
        <v>40030</v>
      </c>
    </row>
    <row r="57" spans="1:1">
      <c r="A57" s="4">
        <v>40040</v>
      </c>
    </row>
    <row r="58" spans="1:1">
      <c r="A58" s="4">
        <v>40050</v>
      </c>
    </row>
    <row r="59" spans="1:1">
      <c r="A59" s="4">
        <v>40060</v>
      </c>
    </row>
    <row r="60" spans="1:1">
      <c r="A60" s="4">
        <v>40070</v>
      </c>
    </row>
    <row r="61" spans="1:1">
      <c r="A61" s="4">
        <v>40080</v>
      </c>
    </row>
    <row r="62" spans="1:1">
      <c r="A62" s="4">
        <v>50010</v>
      </c>
    </row>
    <row r="63" spans="1:1">
      <c r="A63" s="4">
        <v>50020</v>
      </c>
    </row>
    <row r="64" spans="1:1">
      <c r="A64" s="4">
        <v>50030</v>
      </c>
    </row>
    <row r="65" spans="1:1">
      <c r="A65" s="4">
        <v>50040</v>
      </c>
    </row>
    <row r="66" spans="1:1">
      <c r="A66" s="4">
        <v>50050</v>
      </c>
    </row>
    <row r="67" spans="1:1">
      <c r="A67" s="4">
        <v>50060</v>
      </c>
    </row>
    <row r="68" spans="1:1">
      <c r="A68" s="4">
        <v>50070</v>
      </c>
    </row>
    <row r="69" spans="1:1">
      <c r="A69" s="4">
        <v>50080</v>
      </c>
    </row>
  </sheetData>
  <conditionalFormatting sqref="A$1:A$1048576">
    <cfRule type="duplicateValues" dxfId="0" priority="1"/>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原铭祥</cp:lastModifiedBy>
  <dcterms:created xsi:type="dcterms:W3CDTF">2006-09-16T00:00:00Z</dcterms:created>
  <dcterms:modified xsi:type="dcterms:W3CDTF">2021-11-18T08:30:13Z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56245480A2154DAA81E07C78216552B3</vt:lpwstr>
  </property>
  <property fmtid="{D5CDD505-2E9C-101B-9397-08002B2CF9AE}" pid="3" name="KSOProductBuildVer">
    <vt:lpwstr>2052-11.1.0.11045</vt:lpwstr>
  </property>
</Properties>
</file>
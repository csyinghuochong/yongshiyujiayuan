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423BD93-9B2E-4C25-B09F-097B0FF243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77" i="1" l="1"/>
  <c r="C78" i="1" s="1"/>
  <c r="C79" i="1" s="1"/>
  <c r="C80" i="1" s="1"/>
  <c r="C76" i="1"/>
  <c r="B77" i="1"/>
  <c r="B78" i="1" s="1"/>
  <c r="E76" i="1"/>
  <c r="E77" i="1"/>
  <c r="E78" i="1" s="1"/>
  <c r="E79" i="1" s="1"/>
  <c r="E80" i="1" s="1"/>
  <c r="L12" i="1"/>
  <c r="L50" i="1"/>
  <c r="L60" i="1"/>
  <c r="K7" i="1"/>
  <c r="L7" i="1" s="1"/>
  <c r="K8" i="1"/>
  <c r="L8" i="1" s="1"/>
  <c r="O8" i="1" s="1"/>
  <c r="K9" i="1"/>
  <c r="L9" i="1" s="1"/>
  <c r="K10" i="1"/>
  <c r="L10" i="1" s="1"/>
  <c r="K11" i="1"/>
  <c r="L11" i="1" s="1"/>
  <c r="K12" i="1"/>
  <c r="K13" i="1"/>
  <c r="L13" i="1" s="1"/>
  <c r="M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O20" i="1" s="1"/>
  <c r="K21" i="1"/>
  <c r="L21" i="1" s="1"/>
  <c r="K22" i="1"/>
  <c r="L22" i="1" s="1"/>
  <c r="K23" i="1"/>
  <c r="L23" i="1" s="1"/>
  <c r="K24" i="1"/>
  <c r="L24" i="1" s="1"/>
  <c r="K25" i="1"/>
  <c r="L25" i="1" s="1"/>
  <c r="O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M32" i="1" s="1"/>
  <c r="K33" i="1"/>
  <c r="L33" i="1" s="1"/>
  <c r="K34" i="1"/>
  <c r="L34" i="1" s="1"/>
  <c r="K35" i="1"/>
  <c r="L35" i="1" s="1"/>
  <c r="K36" i="1"/>
  <c r="L36" i="1" s="1"/>
  <c r="K37" i="1"/>
  <c r="L37" i="1" s="1"/>
  <c r="O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O44" i="1" s="1"/>
  <c r="K45" i="1"/>
  <c r="L45" i="1" s="1"/>
  <c r="K46" i="1"/>
  <c r="L46" i="1" s="1"/>
  <c r="K47" i="1"/>
  <c r="L47" i="1" s="1"/>
  <c r="M47" i="1" s="1"/>
  <c r="K48" i="1"/>
  <c r="L48" i="1" s="1"/>
  <c r="K49" i="1"/>
  <c r="L49" i="1" s="1"/>
  <c r="M49" i="1" s="1"/>
  <c r="K50" i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O56" i="1" s="1"/>
  <c r="K57" i="1"/>
  <c r="L57" i="1" s="1"/>
  <c r="K58" i="1"/>
  <c r="L58" i="1" s="1"/>
  <c r="K59" i="1"/>
  <c r="L59" i="1" s="1"/>
  <c r="M59" i="1" s="1"/>
  <c r="K60" i="1"/>
  <c r="K61" i="1"/>
  <c r="L61" i="1" s="1"/>
  <c r="O61" i="1" s="1"/>
  <c r="K62" i="1"/>
  <c r="L62" i="1" s="1"/>
  <c r="K6" i="1"/>
  <c r="L6" i="1" s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C6" i="1"/>
  <c r="C7" i="1"/>
  <c r="C8" i="1"/>
  <c r="C9" i="1"/>
  <c r="C10" i="1"/>
  <c r="C11" i="1"/>
  <c r="C12" i="1"/>
  <c r="C13" i="1"/>
  <c r="C14" i="1"/>
  <c r="C15" i="1"/>
  <c r="M11" i="1" l="1"/>
  <c r="O11" i="1"/>
  <c r="M37" i="1"/>
  <c r="O35" i="1"/>
  <c r="O23" i="1"/>
  <c r="O49" i="1"/>
  <c r="M35" i="1"/>
  <c r="O7" i="1"/>
  <c r="M7" i="1"/>
  <c r="M6" i="1"/>
  <c r="O6" i="1"/>
  <c r="M40" i="1"/>
  <c r="O40" i="1"/>
  <c r="M28" i="1"/>
  <c r="O28" i="1"/>
  <c r="M16" i="1"/>
  <c r="O16" i="1"/>
  <c r="M51" i="1"/>
  <c r="O51" i="1"/>
  <c r="M39" i="1"/>
  <c r="O39" i="1"/>
  <c r="M27" i="1"/>
  <c r="O27" i="1"/>
  <c r="M15" i="1"/>
  <c r="O15" i="1"/>
  <c r="M54" i="1"/>
  <c r="O54" i="1"/>
  <c r="M52" i="1"/>
  <c r="O52" i="1"/>
  <c r="M42" i="1"/>
  <c r="O42" i="1"/>
  <c r="M41" i="1"/>
  <c r="O41" i="1"/>
  <c r="M50" i="1"/>
  <c r="O50" i="1"/>
  <c r="M36" i="1"/>
  <c r="O36" i="1"/>
  <c r="M12" i="1"/>
  <c r="O12" i="1"/>
  <c r="O43" i="1"/>
  <c r="M43" i="1"/>
  <c r="M53" i="1"/>
  <c r="O53" i="1"/>
  <c r="O62" i="1"/>
  <c r="M62" i="1"/>
  <c r="O60" i="1"/>
  <c r="M60" i="1"/>
  <c r="O48" i="1"/>
  <c r="M48" i="1"/>
  <c r="O24" i="1"/>
  <c r="M24" i="1"/>
  <c r="O55" i="1"/>
  <c r="M55" i="1"/>
  <c r="M18" i="1"/>
  <c r="O18" i="1"/>
  <c r="M17" i="1"/>
  <c r="O17" i="1"/>
  <c r="M14" i="1"/>
  <c r="O14" i="1"/>
  <c r="O46" i="1"/>
  <c r="M46" i="1"/>
  <c r="O10" i="1"/>
  <c r="M10" i="1"/>
  <c r="O19" i="1"/>
  <c r="M19" i="1"/>
  <c r="O26" i="1"/>
  <c r="M26" i="1"/>
  <c r="O58" i="1"/>
  <c r="M58" i="1"/>
  <c r="M34" i="1"/>
  <c r="O34" i="1"/>
  <c r="M57" i="1"/>
  <c r="O57" i="1"/>
  <c r="M45" i="1"/>
  <c r="O45" i="1"/>
  <c r="M33" i="1"/>
  <c r="O33" i="1"/>
  <c r="M21" i="1"/>
  <c r="O21" i="1"/>
  <c r="M9" i="1"/>
  <c r="O9" i="1"/>
  <c r="O31" i="1"/>
  <c r="M31" i="1"/>
  <c r="M30" i="1"/>
  <c r="O30" i="1"/>
  <c r="M29" i="1"/>
  <c r="O29" i="1"/>
  <c r="M38" i="1"/>
  <c r="O38" i="1"/>
  <c r="O22" i="1"/>
  <c r="M22" i="1"/>
  <c r="M8" i="1"/>
  <c r="M44" i="1"/>
  <c r="M25" i="1"/>
  <c r="M61" i="1"/>
  <c r="M23" i="1"/>
  <c r="O13" i="1"/>
  <c r="O47" i="1"/>
  <c r="M20" i="1"/>
  <c r="O59" i="1"/>
  <c r="M56" i="1"/>
  <c r="O3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  <connection id="3" xr16:uid="{00000000-0015-0000-FFFF-FFFF02000000}" name="Item_Template2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<sst xmlns="http://schemas.openxmlformats.org/spreadsheetml/2006/main" count="103" uniqueCount="26">
  <si>
    <t>int</t>
    <phoneticPr fontId="1" type="noConversion"/>
  </si>
  <si>
    <t>string</t>
    <phoneticPr fontId="1" type="noConversion"/>
  </si>
  <si>
    <t>all</t>
    <phoneticPr fontId="1" type="noConversion"/>
  </si>
  <si>
    <t>角色升级经验</t>
    <phoneticPr fontId="1" type="noConversion"/>
  </si>
  <si>
    <t>Lv</t>
    <phoneticPr fontId="1" type="noConversion"/>
  </si>
  <si>
    <t>RoseUpExp</t>
    <phoneticPr fontId="1" type="noConversion"/>
  </si>
  <si>
    <t>RoseGoldPro</t>
    <phoneticPr fontId="1" type="noConversion"/>
  </si>
  <si>
    <t>每级对应经验产出</t>
    <phoneticPr fontId="1" type="noConversion"/>
  </si>
  <si>
    <t>每级对应金币产出</t>
    <phoneticPr fontId="1" type="noConversion"/>
  </si>
  <si>
    <t>RoseExpPro</t>
    <phoneticPr fontId="1" type="noConversion"/>
  </si>
  <si>
    <t>每级对应特殊事件</t>
    <phoneticPr fontId="1" type="noConversion"/>
  </si>
  <si>
    <t>SpecialEvent</t>
    <phoneticPr fontId="1" type="noConversion"/>
  </si>
  <si>
    <t>10001;10002;10003;10004;10005;10006;10007;10008;10009;10010;10011;10012;10013;10014;10015;10016;10017;10018;10019;10020;10021;10022;10023;10024;10025;10026;10027;10028;10029;10030;10031;10032;10033;10034;10035;10036</t>
    <phoneticPr fontId="1" type="noConversion"/>
  </si>
  <si>
    <t>20001;20002;20003;20004;20005;20006;20007;20008;20009;20010;20011;20012;20013;20014;20015;20016;20017;20018;20019;20020;20021;20022;20023;20024;20025;20026;20027;20028;20029;20030;20031;20032;20033;20034;20035;20036;20037;20038</t>
    <phoneticPr fontId="1" type="noConversion"/>
  </si>
  <si>
    <t>30001;30002;30003;30004;30005;30006;30007;30008;30009;30010;30011;30012;30013;30014;30015;30016;30017;30018;30019;30020;30021;30022;30023;30024;30025;30026;30027;30028;30029;30030;30031;30032;30033;30034</t>
  </si>
  <si>
    <t>40001;40002;40003;40004;40005;40006;40007;40008;40009;40010;40011;40012;40013;40014;40015;40016;40017;40018;40019;40020;40021;40022;40023;40024;40025;40026;40027;40028;40029;40030;40031;40032;40033;40034;40035;40036;40037</t>
  </si>
  <si>
    <t>50001;50002;50003;50004;50005;50006;50007;50008;50009;50010;50011;50012;50013;50014;50015;50016;50017;50018;50019;50020;50021;50022;50023;50024;50025;50026;50027;50028;50029;50030;50031</t>
  </si>
  <si>
    <t>50001;50002;50003;50004;50005;50006;50007;50008;50009;50010;50011;50012;50013;50014;50015;50016;50017;50018;50019;50020;50021;50022;50023;50024;50025;50026;50027;50028;50029;50030;50032</t>
  </si>
  <si>
    <t>50001;50002;50003;50004;50005;50006;50007;50008;50009;50010;50011;50012;50013;50014;50015;50016;50017;50018;50019;50020;50021;50022;50023;50024;50025;50026;50027;50028;50029;50030;50033</t>
  </si>
  <si>
    <t>50001;50002;50003;50004;50005;50006;50007;50008;50009;50010;50011;50012;50013;50014;50015;50016;50017;50018;50019;50020;50021;50022;50023;50024;50025;50026;50027;50028;50029;50030;50034</t>
  </si>
  <si>
    <t>50001;50002;50003;50004;50005;50006;50007;50008;50009;50010;50011;50012;50013;50014;50015;50016;50017;50018;50019;50020;50021;50022;50023;50024;50025;50026;50027;50028;50029;50030;50035</t>
  </si>
  <si>
    <t>宠物升级经验</t>
    <phoneticPr fontId="1" type="noConversion"/>
  </si>
  <si>
    <t>PetUpExp</t>
    <phoneticPr fontId="1" type="noConversion"/>
  </si>
  <si>
    <t>RoseLv</t>
    <phoneticPr fontId="1" type="noConversion"/>
  </si>
  <si>
    <t>OffLinkExp</t>
    <phoneticPr fontId="1" type="noConversion"/>
  </si>
  <si>
    <t>离线储备经验上限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</si>
</sst>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>
    <DataBinding FileBinding="true" ConnectionID="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G80" tableType="xml" totalsRowShown="0" headerRowDxfId="9" dataDxfId="8" tableBorderDxfId="7" connectionId="3">
  <autoFilter ref="A5:G80" xr:uid="{00000000-0009-0000-0100-000001000000}"/>
  <tableColumns count="7">
    <tableColumn id="1" xr3:uid="{00000000-0010-0000-0000-000001000000}" uniqueName="ID" name="RoseLv" dataDxfId="6">
      <xmlColumnPr mapId="3" xpath="/DateArea/date/@ID" xmlDataType="string"/>
    </tableColumn>
    <tableColumn id="2" xr3:uid="{00000000-0010-0000-0000-000002000000}" uniqueName="ItemName" name="RoseUpExp" dataDxfId="5">
      <xmlColumnPr mapId="3" xpath="/DateArea/date/@ItemName" xmlDataType="string"/>
    </tableColumn>
    <tableColumn id="6" xr3:uid="{00000000-0010-0000-0000-000006000000}" uniqueName="6" name="PetUpExp" dataDxfId="4">
      <calculatedColumnFormula>ROUND(表1[[#This Row],[RoseUpExp]]/3,-2)</calculatedColumnFormula>
    </tableColumn>
    <tableColumn id="3" xr3:uid="{00000000-0010-0000-0000-000003000000}" uniqueName="3" name="RoseExpPro" dataDxfId="3"/>
    <tableColumn id="4" xr3:uid="{00000000-0010-0000-0000-000004000000}" uniqueName="4" name="RoseGoldPro" dataDxfId="2"/>
    <tableColumn id="7" xr3:uid="{00000000-0010-0000-0000-000007000000}" uniqueName="7" name="OffLinkExp" dataDxfId="1"/>
    <tableColumn id="5" xr3:uid="{00000000-0010-0000-0000-000005000000}" uniqueName="5" name="SpecialEv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"/>
  <sheetViews>
    <sheetView tabSelected="1" workbookViewId="0">
      <pane xSplit="2" ySplit="5" topLeftCell="C63" activePane="bottomRight" state="frozen"/>
      <selection pane="topRight" activeCell="C1" sqref="C1"/>
      <selection pane="bottomLeft" activeCell="A6" sqref="A6"/>
      <selection pane="bottomRight" activeCell="C78" sqref="C78"/>
    </sheetView>
  </sheetViews>
  <sheetFormatPr defaultRowHeight="13.5" x14ac:dyDescent="0.15"/>
  <cols>
    <col min="1" max="1" width="14.375" customWidth="1"/>
    <col min="2" max="3" width="18.25" customWidth="1"/>
    <col min="4" max="5" width="17.25" bestFit="1" customWidth="1"/>
    <col min="6" max="6" width="12.25" customWidth="1"/>
    <col min="7" max="7" width="95.375" style="15" customWidth="1"/>
    <col min="9" max="16" width="9" style="17"/>
  </cols>
  <sheetData>
    <row r="1" spans="1:16" s="5" customFormat="1" ht="20.100000000000001" customHeight="1" x14ac:dyDescent="0.15">
      <c r="A1" s="1" t="s">
        <v>4</v>
      </c>
      <c r="B1" s="1" t="s">
        <v>3</v>
      </c>
      <c r="C1" s="1" t="s">
        <v>21</v>
      </c>
      <c r="D1" s="1" t="s">
        <v>7</v>
      </c>
      <c r="E1" s="1" t="s">
        <v>8</v>
      </c>
      <c r="F1" s="1" t="s">
        <v>25</v>
      </c>
      <c r="G1" s="12" t="s">
        <v>10</v>
      </c>
      <c r="I1" s="16"/>
      <c r="J1" s="16"/>
      <c r="K1" s="16"/>
      <c r="L1" s="16"/>
      <c r="M1" s="16"/>
      <c r="N1" s="16"/>
      <c r="O1" s="16"/>
      <c r="P1" s="16"/>
    </row>
    <row r="2" spans="1:16" s="5" customFormat="1" ht="20.100000000000001" customHeight="1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2" t="s">
        <v>1</v>
      </c>
      <c r="I2" s="16"/>
      <c r="J2" s="16"/>
      <c r="K2" s="16"/>
      <c r="L2" s="16"/>
      <c r="M2" s="16"/>
      <c r="N2" s="16"/>
      <c r="O2" s="16"/>
      <c r="P2" s="16"/>
    </row>
    <row r="3" spans="1:16" s="5" customFormat="1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2">
        <v>16</v>
      </c>
      <c r="I3" s="16"/>
      <c r="J3" s="16"/>
      <c r="K3" s="16"/>
      <c r="L3" s="16"/>
      <c r="M3" s="16"/>
      <c r="N3" s="16"/>
      <c r="O3" s="16"/>
      <c r="P3" s="16"/>
    </row>
    <row r="4" spans="1:16" s="5" customFormat="1" ht="20.100000000000001" customHeight="1" x14ac:dyDescent="0.1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2" t="s">
        <v>2</v>
      </c>
      <c r="I4" s="16"/>
      <c r="J4" s="16"/>
      <c r="K4" s="16"/>
      <c r="L4" s="16"/>
      <c r="M4" s="16"/>
      <c r="N4" s="16"/>
      <c r="O4" s="16"/>
      <c r="P4" s="16"/>
    </row>
    <row r="5" spans="1:16" s="5" customFormat="1" ht="20.100000000000001" customHeight="1" x14ac:dyDescent="0.15">
      <c r="A5" s="2" t="s">
        <v>23</v>
      </c>
      <c r="B5" s="1" t="s">
        <v>5</v>
      </c>
      <c r="C5" s="4" t="s">
        <v>22</v>
      </c>
      <c r="D5" s="3" t="s">
        <v>9</v>
      </c>
      <c r="E5" s="3" t="s">
        <v>6</v>
      </c>
      <c r="F5" s="11" t="s">
        <v>24</v>
      </c>
      <c r="G5" s="13" t="s">
        <v>11</v>
      </c>
      <c r="I5" s="16"/>
      <c r="J5" s="16"/>
      <c r="K5" s="16"/>
      <c r="L5" s="16"/>
      <c r="M5" s="16"/>
      <c r="N5" s="16"/>
      <c r="O5" s="16"/>
      <c r="P5" s="16"/>
    </row>
    <row r="6" spans="1:16" s="5" customFormat="1" ht="20.100000000000001" customHeight="1" x14ac:dyDescent="0.15">
      <c r="A6" s="6">
        <v>1</v>
      </c>
      <c r="B6" s="6">
        <v>1000</v>
      </c>
      <c r="C6" s="6">
        <f>ROUND(表1[[#This Row],[RoseUpExp]]/3,-2)</f>
        <v>300</v>
      </c>
      <c r="D6" s="6">
        <v>15</v>
      </c>
      <c r="E6" s="6">
        <v>510</v>
      </c>
      <c r="F6" s="10">
        <v>21600</v>
      </c>
      <c r="G6" s="14" t="s">
        <v>12</v>
      </c>
      <c r="I6" s="16">
        <f>表1[[#This Row],[RoseUpExp]]/表1[[#This Row],[RoseExpPro]]</f>
        <v>66.666666666666671</v>
      </c>
      <c r="J6" s="16">
        <v>1</v>
      </c>
      <c r="K6" s="16">
        <f>表1[[#This Row],[RoseExpPro]]*60*24</f>
        <v>21600</v>
      </c>
      <c r="L6" s="16">
        <f>K6*J6</f>
        <v>21600</v>
      </c>
      <c r="M6" s="16">
        <f>L6/表1[[#This Row],[RoseUpExp]]</f>
        <v>21.6</v>
      </c>
      <c r="N6" s="16"/>
      <c r="O6" s="16">
        <f>L6/表1[[#This Row],[OffLinkExp]]</f>
        <v>1</v>
      </c>
      <c r="P6" s="16"/>
    </row>
    <row r="7" spans="1:16" s="5" customFormat="1" ht="20.100000000000001" customHeight="1" x14ac:dyDescent="0.15">
      <c r="A7" s="7">
        <v>2</v>
      </c>
      <c r="B7" s="6">
        <v>1500</v>
      </c>
      <c r="C7" s="6">
        <f>ROUND(表1[[#This Row],[RoseUpExp]]/3,-2)</f>
        <v>500</v>
      </c>
      <c r="D7" s="6">
        <v>20</v>
      </c>
      <c r="E7" s="6">
        <f>E6+15</f>
        <v>525</v>
      </c>
      <c r="F7" s="10">
        <v>31680.000000000004</v>
      </c>
      <c r="G7" s="14" t="s">
        <v>12</v>
      </c>
      <c r="I7" s="16">
        <f>表1[[#This Row],[RoseUpExp]]/表1[[#This Row],[RoseExpPro]]</f>
        <v>75</v>
      </c>
      <c r="J7" s="16">
        <v>1.1000000000000001</v>
      </c>
      <c r="K7" s="16">
        <f>表1[[#This Row],[RoseExpPro]]*60*24</f>
        <v>28800</v>
      </c>
      <c r="L7" s="16">
        <f t="shared" ref="L7:L70" si="0">K7*J7</f>
        <v>31680.000000000004</v>
      </c>
      <c r="M7" s="16">
        <f>L7/表1[[#This Row],[RoseUpExp]]</f>
        <v>21.12</v>
      </c>
      <c r="N7" s="16"/>
      <c r="O7" s="16">
        <f>L7/表1[[#This Row],[OffLinkExp]]</f>
        <v>1</v>
      </c>
      <c r="P7" s="16"/>
    </row>
    <row r="8" spans="1:16" s="5" customFormat="1" ht="20.100000000000001" customHeight="1" x14ac:dyDescent="0.15">
      <c r="A8" s="7">
        <v>3</v>
      </c>
      <c r="B8" s="6">
        <v>1800</v>
      </c>
      <c r="C8" s="6">
        <f>ROUND(表1[[#This Row],[RoseUpExp]]/3,-2)</f>
        <v>600</v>
      </c>
      <c r="D8" s="6">
        <v>25</v>
      </c>
      <c r="E8" s="6">
        <f t="shared" ref="E8:E71" si="1">E7+15</f>
        <v>540</v>
      </c>
      <c r="F8" s="10">
        <v>43200</v>
      </c>
      <c r="G8" s="14" t="s">
        <v>12</v>
      </c>
      <c r="I8" s="16">
        <f>表1[[#This Row],[RoseUpExp]]/表1[[#This Row],[RoseExpPro]]</f>
        <v>72</v>
      </c>
      <c r="J8" s="16">
        <v>1.2</v>
      </c>
      <c r="K8" s="16">
        <f>表1[[#This Row],[RoseExpPro]]*60*24</f>
        <v>36000</v>
      </c>
      <c r="L8" s="16">
        <f t="shared" si="0"/>
        <v>43200</v>
      </c>
      <c r="M8" s="16">
        <f>L8/表1[[#This Row],[RoseUpExp]]</f>
        <v>24</v>
      </c>
      <c r="N8" s="16"/>
      <c r="O8" s="16">
        <f>L8/表1[[#This Row],[OffLinkExp]]</f>
        <v>1</v>
      </c>
      <c r="P8" s="16"/>
    </row>
    <row r="9" spans="1:16" s="5" customFormat="1" ht="20.100000000000001" customHeight="1" x14ac:dyDescent="0.15">
      <c r="A9" s="8">
        <v>4</v>
      </c>
      <c r="B9" s="6">
        <v>3200</v>
      </c>
      <c r="C9" s="6">
        <f>ROUND(表1[[#This Row],[RoseUpExp]]/3,-2)</f>
        <v>1100</v>
      </c>
      <c r="D9" s="6">
        <v>30</v>
      </c>
      <c r="E9" s="6">
        <f t="shared" si="1"/>
        <v>555</v>
      </c>
      <c r="F9" s="10">
        <v>56160</v>
      </c>
      <c r="G9" s="14" t="s">
        <v>12</v>
      </c>
      <c r="I9" s="16">
        <f>表1[[#This Row],[RoseUpExp]]/表1[[#This Row],[RoseExpPro]]</f>
        <v>106.66666666666667</v>
      </c>
      <c r="J9" s="16">
        <v>1.3</v>
      </c>
      <c r="K9" s="16">
        <f>表1[[#This Row],[RoseExpPro]]*60*24</f>
        <v>43200</v>
      </c>
      <c r="L9" s="16">
        <f t="shared" si="0"/>
        <v>56160</v>
      </c>
      <c r="M9" s="16">
        <f>L9/表1[[#This Row],[RoseUpExp]]</f>
        <v>17.55</v>
      </c>
      <c r="N9" s="16"/>
      <c r="O9" s="16">
        <f>L9/表1[[#This Row],[OffLinkExp]]</f>
        <v>1</v>
      </c>
      <c r="P9" s="16"/>
    </row>
    <row r="10" spans="1:16" s="5" customFormat="1" ht="20.100000000000001" customHeight="1" x14ac:dyDescent="0.15">
      <c r="A10" s="8">
        <v>5</v>
      </c>
      <c r="B10" s="6">
        <v>4000</v>
      </c>
      <c r="C10" s="6">
        <f>ROUND(表1[[#This Row],[RoseUpExp]]/3,-2)</f>
        <v>1300</v>
      </c>
      <c r="D10" s="6">
        <v>40</v>
      </c>
      <c r="E10" s="6">
        <f t="shared" si="1"/>
        <v>570</v>
      </c>
      <c r="F10" s="10">
        <v>80640</v>
      </c>
      <c r="G10" s="14" t="s">
        <v>12</v>
      </c>
      <c r="I10" s="16">
        <f>表1[[#This Row],[RoseUpExp]]/表1[[#This Row],[RoseExpPro]]</f>
        <v>100</v>
      </c>
      <c r="J10" s="16">
        <v>1.4</v>
      </c>
      <c r="K10" s="16">
        <f>表1[[#This Row],[RoseExpPro]]*60*24</f>
        <v>57600</v>
      </c>
      <c r="L10" s="16">
        <f t="shared" si="0"/>
        <v>80640</v>
      </c>
      <c r="M10" s="16">
        <f>L10/表1[[#This Row],[RoseUpExp]]</f>
        <v>20.16</v>
      </c>
      <c r="N10" s="16"/>
      <c r="O10" s="16">
        <f>L10/表1[[#This Row],[OffLinkExp]]</f>
        <v>1</v>
      </c>
      <c r="P10" s="16"/>
    </row>
    <row r="11" spans="1:16" s="5" customFormat="1" ht="20.100000000000001" customHeight="1" x14ac:dyDescent="0.15">
      <c r="A11" s="8">
        <v>6</v>
      </c>
      <c r="B11" s="6">
        <v>5000</v>
      </c>
      <c r="C11" s="6">
        <f>ROUND(表1[[#This Row],[RoseUpExp]]/3,-2)</f>
        <v>1700</v>
      </c>
      <c r="D11" s="6">
        <v>50</v>
      </c>
      <c r="E11" s="6">
        <f t="shared" si="1"/>
        <v>585</v>
      </c>
      <c r="F11" s="10">
        <v>108000</v>
      </c>
      <c r="G11" s="14" t="s">
        <v>12</v>
      </c>
      <c r="I11" s="16">
        <f>表1[[#This Row],[RoseUpExp]]/表1[[#This Row],[RoseExpPro]]</f>
        <v>100</v>
      </c>
      <c r="J11" s="16">
        <v>1.5</v>
      </c>
      <c r="K11" s="16">
        <f>表1[[#This Row],[RoseExpPro]]*60*24</f>
        <v>72000</v>
      </c>
      <c r="L11" s="16">
        <f t="shared" si="0"/>
        <v>108000</v>
      </c>
      <c r="M11" s="16">
        <f>L11/表1[[#This Row],[RoseUpExp]]</f>
        <v>21.6</v>
      </c>
      <c r="N11" s="16"/>
      <c r="O11" s="16">
        <f>L11/表1[[#This Row],[OffLinkExp]]</f>
        <v>1</v>
      </c>
      <c r="P11" s="16"/>
    </row>
    <row r="12" spans="1:16" s="5" customFormat="1" ht="20.100000000000001" customHeight="1" x14ac:dyDescent="0.15">
      <c r="A12" s="8">
        <v>7</v>
      </c>
      <c r="B12" s="6">
        <v>7000</v>
      </c>
      <c r="C12" s="6">
        <f>ROUND(表1[[#This Row],[RoseUpExp]]/3,-2)</f>
        <v>2300</v>
      </c>
      <c r="D12" s="6">
        <v>60</v>
      </c>
      <c r="E12" s="6">
        <f t="shared" si="1"/>
        <v>600</v>
      </c>
      <c r="F12" s="10">
        <v>138240</v>
      </c>
      <c r="G12" s="14" t="s">
        <v>12</v>
      </c>
      <c r="I12" s="16">
        <f>表1[[#This Row],[RoseUpExp]]/表1[[#This Row],[RoseExpPro]]</f>
        <v>116.66666666666667</v>
      </c>
      <c r="J12" s="16">
        <v>1.6</v>
      </c>
      <c r="K12" s="16">
        <f>表1[[#This Row],[RoseExpPro]]*60*24</f>
        <v>86400</v>
      </c>
      <c r="L12" s="16">
        <f t="shared" si="0"/>
        <v>138240</v>
      </c>
      <c r="M12" s="16">
        <f>L12/表1[[#This Row],[RoseUpExp]]</f>
        <v>19.748571428571427</v>
      </c>
      <c r="N12" s="16"/>
      <c r="O12" s="16">
        <f>L12/表1[[#This Row],[OffLinkExp]]</f>
        <v>1</v>
      </c>
      <c r="P12" s="16"/>
    </row>
    <row r="13" spans="1:16" s="5" customFormat="1" ht="20.100000000000001" customHeight="1" x14ac:dyDescent="0.15">
      <c r="A13" s="8">
        <v>8</v>
      </c>
      <c r="B13" s="6">
        <v>9000</v>
      </c>
      <c r="C13" s="6">
        <f>ROUND(表1[[#This Row],[RoseUpExp]]/3,-2)</f>
        <v>3000</v>
      </c>
      <c r="D13" s="6">
        <v>70</v>
      </c>
      <c r="E13" s="6">
        <f t="shared" si="1"/>
        <v>615</v>
      </c>
      <c r="F13" s="10">
        <v>171360</v>
      </c>
      <c r="G13" s="14" t="s">
        <v>12</v>
      </c>
      <c r="I13" s="16">
        <f>表1[[#This Row],[RoseUpExp]]/表1[[#This Row],[RoseExpPro]]</f>
        <v>128.57142857142858</v>
      </c>
      <c r="J13" s="16">
        <v>1.7</v>
      </c>
      <c r="K13" s="16">
        <f>表1[[#This Row],[RoseExpPro]]*60*24</f>
        <v>100800</v>
      </c>
      <c r="L13" s="16">
        <f t="shared" si="0"/>
        <v>171360</v>
      </c>
      <c r="M13" s="16">
        <f>L13/表1[[#This Row],[RoseUpExp]]</f>
        <v>19.04</v>
      </c>
      <c r="N13" s="16"/>
      <c r="O13" s="16">
        <f>L13/表1[[#This Row],[OffLinkExp]]</f>
        <v>1</v>
      </c>
      <c r="P13" s="16"/>
    </row>
    <row r="14" spans="1:16" s="5" customFormat="1" ht="20.100000000000001" customHeight="1" x14ac:dyDescent="0.15">
      <c r="A14" s="8">
        <v>9</v>
      </c>
      <c r="B14" s="6">
        <v>10000</v>
      </c>
      <c r="C14" s="6">
        <f>ROUND(表1[[#This Row],[RoseUpExp]]/3,-2)</f>
        <v>3300</v>
      </c>
      <c r="D14" s="6">
        <v>80</v>
      </c>
      <c r="E14" s="6">
        <f t="shared" si="1"/>
        <v>630</v>
      </c>
      <c r="F14" s="10">
        <v>207360</v>
      </c>
      <c r="G14" s="14" t="s">
        <v>12</v>
      </c>
      <c r="I14" s="16">
        <f>表1[[#This Row],[RoseUpExp]]/表1[[#This Row],[RoseExpPro]]</f>
        <v>125</v>
      </c>
      <c r="J14" s="16">
        <v>1.8</v>
      </c>
      <c r="K14" s="16">
        <f>表1[[#This Row],[RoseExpPro]]*60*24</f>
        <v>115200</v>
      </c>
      <c r="L14" s="16">
        <f t="shared" si="0"/>
        <v>207360</v>
      </c>
      <c r="M14" s="16">
        <f>L14/表1[[#This Row],[RoseUpExp]]</f>
        <v>20.736000000000001</v>
      </c>
      <c r="N14" s="16"/>
      <c r="O14" s="16">
        <f>L14/表1[[#This Row],[OffLinkExp]]</f>
        <v>1</v>
      </c>
      <c r="P14" s="16"/>
    </row>
    <row r="15" spans="1:16" s="5" customFormat="1" ht="20.100000000000001" customHeight="1" x14ac:dyDescent="0.15">
      <c r="A15" s="8">
        <v>10</v>
      </c>
      <c r="B15" s="6">
        <v>13000</v>
      </c>
      <c r="C15" s="6">
        <f>ROUND(表1[[#This Row],[RoseUpExp]]/3,-2)</f>
        <v>4300</v>
      </c>
      <c r="D15" s="6">
        <v>95</v>
      </c>
      <c r="E15" s="6">
        <f t="shared" si="1"/>
        <v>645</v>
      </c>
      <c r="F15" s="10">
        <v>259920</v>
      </c>
      <c r="G15" s="14" t="s">
        <v>12</v>
      </c>
      <c r="I15" s="16">
        <f>表1[[#This Row],[RoseUpExp]]/表1[[#This Row],[RoseExpPro]]</f>
        <v>136.84210526315789</v>
      </c>
      <c r="J15" s="16">
        <v>1.9</v>
      </c>
      <c r="K15" s="16">
        <f>表1[[#This Row],[RoseExpPro]]*60*24</f>
        <v>136800</v>
      </c>
      <c r="L15" s="16">
        <f t="shared" si="0"/>
        <v>259920</v>
      </c>
      <c r="M15" s="16">
        <f>L15/表1[[#This Row],[RoseUpExp]]</f>
        <v>19.993846153846153</v>
      </c>
      <c r="N15" s="16"/>
      <c r="O15" s="16">
        <f>L15/表1[[#This Row],[OffLinkExp]]</f>
        <v>1</v>
      </c>
      <c r="P15" s="16"/>
    </row>
    <row r="16" spans="1:16" s="5" customFormat="1" ht="20.100000000000001" customHeight="1" x14ac:dyDescent="0.15">
      <c r="A16" s="8">
        <v>11</v>
      </c>
      <c r="B16" s="6">
        <v>26000</v>
      </c>
      <c r="C16" s="6">
        <v>5800</v>
      </c>
      <c r="D16" s="6">
        <v>110</v>
      </c>
      <c r="E16" s="6">
        <f t="shared" si="1"/>
        <v>660</v>
      </c>
      <c r="F16" s="10">
        <v>316800</v>
      </c>
      <c r="G16" s="14" t="s">
        <v>12</v>
      </c>
      <c r="I16" s="16">
        <f>表1[[#This Row],[RoseUpExp]]/表1[[#This Row],[RoseExpPro]]</f>
        <v>236.36363636363637</v>
      </c>
      <c r="J16" s="16">
        <v>2</v>
      </c>
      <c r="K16" s="16">
        <f>表1[[#This Row],[RoseExpPro]]*60*24</f>
        <v>158400</v>
      </c>
      <c r="L16" s="16">
        <f t="shared" si="0"/>
        <v>316800</v>
      </c>
      <c r="M16" s="16">
        <f>L16/表1[[#This Row],[RoseUpExp]]</f>
        <v>12.184615384615384</v>
      </c>
      <c r="N16" s="16"/>
      <c r="O16" s="16">
        <f>L16/表1[[#This Row],[OffLinkExp]]</f>
        <v>1</v>
      </c>
      <c r="P16" s="16"/>
    </row>
    <row r="17" spans="1:16" s="5" customFormat="1" ht="20.100000000000001" customHeight="1" x14ac:dyDescent="0.15">
      <c r="A17" s="8">
        <v>12</v>
      </c>
      <c r="B17" s="6">
        <v>31000</v>
      </c>
      <c r="C17" s="6">
        <v>6870</v>
      </c>
      <c r="D17" s="6">
        <v>125</v>
      </c>
      <c r="E17" s="6">
        <f t="shared" si="1"/>
        <v>675</v>
      </c>
      <c r="F17" s="10">
        <v>378000</v>
      </c>
      <c r="G17" s="14" t="s">
        <v>12</v>
      </c>
      <c r="I17" s="16">
        <f>表1[[#This Row],[RoseUpExp]]/表1[[#This Row],[RoseExpPro]]</f>
        <v>248</v>
      </c>
      <c r="J17" s="16">
        <v>2.1</v>
      </c>
      <c r="K17" s="16">
        <f>表1[[#This Row],[RoseExpPro]]*60*24</f>
        <v>180000</v>
      </c>
      <c r="L17" s="16">
        <f t="shared" si="0"/>
        <v>378000</v>
      </c>
      <c r="M17" s="16">
        <f>L17/表1[[#This Row],[RoseUpExp]]</f>
        <v>12.193548387096774</v>
      </c>
      <c r="N17" s="16"/>
      <c r="O17" s="16">
        <f>L17/表1[[#This Row],[OffLinkExp]]</f>
        <v>1</v>
      </c>
      <c r="P17" s="16"/>
    </row>
    <row r="18" spans="1:16" s="5" customFormat="1" ht="20.100000000000001" customHeight="1" x14ac:dyDescent="0.15">
      <c r="A18" s="8">
        <v>13</v>
      </c>
      <c r="B18" s="6">
        <v>46000</v>
      </c>
      <c r="C18" s="6">
        <v>10200</v>
      </c>
      <c r="D18" s="6">
        <v>140</v>
      </c>
      <c r="E18" s="6">
        <f t="shared" si="1"/>
        <v>690</v>
      </c>
      <c r="F18" s="10">
        <v>443520.00000000006</v>
      </c>
      <c r="G18" s="14" t="s">
        <v>12</v>
      </c>
      <c r="I18" s="16">
        <f>表1[[#This Row],[RoseUpExp]]/表1[[#This Row],[RoseExpPro]]</f>
        <v>328.57142857142856</v>
      </c>
      <c r="J18" s="16">
        <v>2.2000000000000002</v>
      </c>
      <c r="K18" s="16">
        <f>表1[[#This Row],[RoseExpPro]]*60*24</f>
        <v>201600</v>
      </c>
      <c r="L18" s="16">
        <f t="shared" si="0"/>
        <v>443520.00000000006</v>
      </c>
      <c r="M18" s="16">
        <f>L18/表1[[#This Row],[RoseUpExp]]</f>
        <v>9.6417391304347841</v>
      </c>
      <c r="N18" s="16"/>
      <c r="O18" s="16">
        <f>L18/表1[[#This Row],[OffLinkExp]]</f>
        <v>1</v>
      </c>
      <c r="P18" s="16"/>
    </row>
    <row r="19" spans="1:16" s="5" customFormat="1" ht="20.100000000000001" customHeight="1" x14ac:dyDescent="0.15">
      <c r="A19" s="8">
        <v>14</v>
      </c>
      <c r="B19" s="6">
        <v>72000</v>
      </c>
      <c r="C19" s="6">
        <v>13530</v>
      </c>
      <c r="D19" s="6">
        <v>155</v>
      </c>
      <c r="E19" s="6">
        <f t="shared" si="1"/>
        <v>705</v>
      </c>
      <c r="F19" s="10">
        <v>513359.99999999994</v>
      </c>
      <c r="G19" s="14" t="s">
        <v>12</v>
      </c>
      <c r="I19" s="16">
        <f>表1[[#This Row],[RoseUpExp]]/表1[[#This Row],[RoseExpPro]]</f>
        <v>464.51612903225805</v>
      </c>
      <c r="J19" s="16">
        <v>2.2999999999999998</v>
      </c>
      <c r="K19" s="16">
        <f>表1[[#This Row],[RoseExpPro]]*60*24</f>
        <v>223200</v>
      </c>
      <c r="L19" s="16">
        <f t="shared" si="0"/>
        <v>513359.99999999994</v>
      </c>
      <c r="M19" s="16">
        <f>L19/表1[[#This Row],[RoseUpExp]]</f>
        <v>7.129999999999999</v>
      </c>
      <c r="N19" s="16"/>
      <c r="O19" s="16">
        <f>L19/表1[[#This Row],[OffLinkExp]]</f>
        <v>1</v>
      </c>
      <c r="P19" s="16"/>
    </row>
    <row r="20" spans="1:16" s="5" customFormat="1" ht="20.100000000000001" customHeight="1" x14ac:dyDescent="0.15">
      <c r="A20" s="8">
        <v>15</v>
      </c>
      <c r="B20" s="6">
        <v>104000</v>
      </c>
      <c r="C20" s="6">
        <v>18670</v>
      </c>
      <c r="D20" s="6">
        <v>170</v>
      </c>
      <c r="E20" s="6">
        <f t="shared" si="1"/>
        <v>720</v>
      </c>
      <c r="F20" s="10">
        <v>587520</v>
      </c>
      <c r="G20" s="14" t="s">
        <v>12</v>
      </c>
      <c r="I20" s="16">
        <f>表1[[#This Row],[RoseUpExp]]/表1[[#This Row],[RoseExpPro]]</f>
        <v>611.76470588235293</v>
      </c>
      <c r="J20" s="16">
        <v>2.4</v>
      </c>
      <c r="K20" s="16">
        <f>表1[[#This Row],[RoseExpPro]]*60*24</f>
        <v>244800</v>
      </c>
      <c r="L20" s="16">
        <f t="shared" si="0"/>
        <v>587520</v>
      </c>
      <c r="M20" s="16">
        <f>L20/表1[[#This Row],[RoseUpExp]]</f>
        <v>5.6492307692307691</v>
      </c>
      <c r="N20" s="16"/>
      <c r="O20" s="16">
        <f>L20/表1[[#This Row],[OffLinkExp]]</f>
        <v>1</v>
      </c>
      <c r="P20" s="16"/>
    </row>
    <row r="21" spans="1:16" s="5" customFormat="1" ht="20.100000000000001" customHeight="1" x14ac:dyDescent="0.15">
      <c r="A21" s="8">
        <v>16</v>
      </c>
      <c r="B21" s="6">
        <v>158000</v>
      </c>
      <c r="C21" s="6">
        <v>24000</v>
      </c>
      <c r="D21" s="6">
        <v>190</v>
      </c>
      <c r="E21" s="6">
        <f t="shared" si="1"/>
        <v>735</v>
      </c>
      <c r="F21" s="10">
        <v>684000</v>
      </c>
      <c r="G21" s="14" t="s">
        <v>12</v>
      </c>
      <c r="I21" s="16">
        <f>表1[[#This Row],[RoseUpExp]]/表1[[#This Row],[RoseExpPro]]</f>
        <v>831.57894736842104</v>
      </c>
      <c r="J21" s="16">
        <v>2.5</v>
      </c>
      <c r="K21" s="16">
        <f>表1[[#This Row],[RoseExpPro]]*60*24</f>
        <v>273600</v>
      </c>
      <c r="L21" s="16">
        <f t="shared" si="0"/>
        <v>684000</v>
      </c>
      <c r="M21" s="16">
        <f>L21/表1[[#This Row],[RoseUpExp]]</f>
        <v>4.3291139240506329</v>
      </c>
      <c r="N21" s="16"/>
      <c r="O21" s="16">
        <f>L21/表1[[#This Row],[OffLinkExp]]</f>
        <v>1</v>
      </c>
      <c r="P21" s="16"/>
    </row>
    <row r="22" spans="1:16" s="5" customFormat="1" ht="20.100000000000001" customHeight="1" x14ac:dyDescent="0.15">
      <c r="A22" s="8">
        <v>17</v>
      </c>
      <c r="B22" s="6">
        <v>200000</v>
      </c>
      <c r="C22" s="6">
        <v>29530</v>
      </c>
      <c r="D22" s="6">
        <v>210</v>
      </c>
      <c r="E22" s="6">
        <f t="shared" si="1"/>
        <v>750</v>
      </c>
      <c r="F22" s="10">
        <v>786240</v>
      </c>
      <c r="G22" s="14" t="s">
        <v>12</v>
      </c>
      <c r="I22" s="16">
        <f>表1[[#This Row],[RoseUpExp]]/表1[[#This Row],[RoseExpPro]]</f>
        <v>952.38095238095241</v>
      </c>
      <c r="J22" s="16">
        <v>2.6</v>
      </c>
      <c r="K22" s="16">
        <f>表1[[#This Row],[RoseExpPro]]*60*24</f>
        <v>302400</v>
      </c>
      <c r="L22" s="16">
        <f t="shared" si="0"/>
        <v>786240</v>
      </c>
      <c r="M22" s="16">
        <f>L22/表1[[#This Row],[RoseUpExp]]</f>
        <v>3.9312</v>
      </c>
      <c r="N22" s="16"/>
      <c r="O22" s="16">
        <f>L22/表1[[#This Row],[OffLinkExp]]</f>
        <v>1</v>
      </c>
      <c r="P22" s="16"/>
    </row>
    <row r="23" spans="1:16" s="5" customFormat="1" ht="20.100000000000001" customHeight="1" x14ac:dyDescent="0.15">
      <c r="A23" s="8">
        <v>18</v>
      </c>
      <c r="B23" s="6">
        <v>250000</v>
      </c>
      <c r="C23" s="6">
        <v>42200</v>
      </c>
      <c r="D23" s="6">
        <v>230</v>
      </c>
      <c r="E23" s="6">
        <f t="shared" si="1"/>
        <v>765</v>
      </c>
      <c r="F23" s="10">
        <v>894240.00000000012</v>
      </c>
      <c r="G23" s="14" t="s">
        <v>13</v>
      </c>
      <c r="I23" s="16">
        <f>表1[[#This Row],[RoseUpExp]]/表1[[#This Row],[RoseExpPro]]</f>
        <v>1086.9565217391305</v>
      </c>
      <c r="J23" s="16">
        <v>2.7</v>
      </c>
      <c r="K23" s="16">
        <f>表1[[#This Row],[RoseExpPro]]*60*24</f>
        <v>331200</v>
      </c>
      <c r="L23" s="16">
        <f t="shared" si="0"/>
        <v>894240.00000000012</v>
      </c>
      <c r="M23" s="16">
        <f>L23/表1[[#This Row],[RoseUpExp]]</f>
        <v>3.5769600000000006</v>
      </c>
      <c r="N23" s="16"/>
      <c r="O23" s="16">
        <f>L23/表1[[#This Row],[OffLinkExp]]</f>
        <v>1</v>
      </c>
      <c r="P23" s="16"/>
    </row>
    <row r="24" spans="1:16" s="5" customFormat="1" ht="20.100000000000001" customHeight="1" x14ac:dyDescent="0.15">
      <c r="A24" s="8">
        <v>19</v>
      </c>
      <c r="B24" s="6">
        <v>275000</v>
      </c>
      <c r="C24" s="6">
        <v>73330</v>
      </c>
      <c r="D24" s="6">
        <v>250</v>
      </c>
      <c r="E24" s="6">
        <f t="shared" si="1"/>
        <v>780</v>
      </c>
      <c r="F24" s="10">
        <v>1007999.9999999999</v>
      </c>
      <c r="G24" s="14" t="s">
        <v>13</v>
      </c>
      <c r="I24" s="16">
        <f>表1[[#This Row],[RoseUpExp]]/表1[[#This Row],[RoseExpPro]]</f>
        <v>1100</v>
      </c>
      <c r="J24" s="16">
        <v>2.8</v>
      </c>
      <c r="K24" s="16">
        <f>表1[[#This Row],[RoseExpPro]]*60*24</f>
        <v>360000</v>
      </c>
      <c r="L24" s="16">
        <f t="shared" si="0"/>
        <v>1007999.9999999999</v>
      </c>
      <c r="M24" s="16">
        <f>L24/表1[[#This Row],[RoseUpExp]]</f>
        <v>3.6654545454545451</v>
      </c>
      <c r="N24" s="16"/>
      <c r="O24" s="16">
        <f>L24/表1[[#This Row],[OffLinkExp]]</f>
        <v>1</v>
      </c>
      <c r="P24" s="16"/>
    </row>
    <row r="25" spans="1:16" s="5" customFormat="1" ht="20.100000000000001" customHeight="1" x14ac:dyDescent="0.15">
      <c r="A25" s="8">
        <v>20</v>
      </c>
      <c r="B25" s="6">
        <v>400000</v>
      </c>
      <c r="C25" s="6">
        <v>88870</v>
      </c>
      <c r="D25" s="6">
        <v>280</v>
      </c>
      <c r="E25" s="6">
        <f t="shared" si="1"/>
        <v>795</v>
      </c>
      <c r="F25" s="10">
        <v>1169280</v>
      </c>
      <c r="G25" s="14" t="s">
        <v>13</v>
      </c>
      <c r="I25" s="16">
        <f>表1[[#This Row],[RoseUpExp]]/表1[[#This Row],[RoseExpPro]]</f>
        <v>1428.5714285714287</v>
      </c>
      <c r="J25" s="16">
        <v>2.9</v>
      </c>
      <c r="K25" s="16">
        <f>表1[[#This Row],[RoseExpPro]]*60*24</f>
        <v>403200</v>
      </c>
      <c r="L25" s="16">
        <f t="shared" si="0"/>
        <v>1169280</v>
      </c>
      <c r="M25" s="16">
        <f>L25/表1[[#This Row],[RoseUpExp]]</f>
        <v>2.9232</v>
      </c>
      <c r="N25" s="16"/>
      <c r="O25" s="16">
        <f>L25/表1[[#This Row],[OffLinkExp]]</f>
        <v>1</v>
      </c>
      <c r="P25" s="16"/>
    </row>
    <row r="26" spans="1:16" s="5" customFormat="1" ht="20.100000000000001" customHeight="1" x14ac:dyDescent="0.15">
      <c r="A26" s="8">
        <v>21</v>
      </c>
      <c r="B26" s="6">
        <v>470000</v>
      </c>
      <c r="C26" s="6">
        <v>104470</v>
      </c>
      <c r="D26" s="6">
        <v>310</v>
      </c>
      <c r="E26" s="6">
        <f t="shared" si="1"/>
        <v>810</v>
      </c>
      <c r="F26" s="10">
        <v>1339200</v>
      </c>
      <c r="G26" s="14" t="s">
        <v>13</v>
      </c>
      <c r="I26" s="16">
        <f>表1[[#This Row],[RoseUpExp]]/表1[[#This Row],[RoseExpPro]]</f>
        <v>1516.1290322580646</v>
      </c>
      <c r="J26" s="16">
        <v>3</v>
      </c>
      <c r="K26" s="16">
        <f>表1[[#This Row],[RoseExpPro]]*60*24</f>
        <v>446400</v>
      </c>
      <c r="L26" s="16">
        <f t="shared" si="0"/>
        <v>1339200</v>
      </c>
      <c r="M26" s="16">
        <f>L26/表1[[#This Row],[RoseUpExp]]</f>
        <v>2.8493617021276596</v>
      </c>
      <c r="N26" s="16"/>
      <c r="O26" s="16">
        <f>L26/表1[[#This Row],[OffLinkExp]]</f>
        <v>1</v>
      </c>
      <c r="P26" s="16"/>
    </row>
    <row r="27" spans="1:16" s="5" customFormat="1" ht="20.100000000000001" customHeight="1" x14ac:dyDescent="0.15">
      <c r="A27" s="8">
        <v>22</v>
      </c>
      <c r="B27" s="6">
        <v>540000</v>
      </c>
      <c r="C27" s="6">
        <v>120000</v>
      </c>
      <c r="D27" s="6">
        <v>340</v>
      </c>
      <c r="E27" s="6">
        <f t="shared" si="1"/>
        <v>825</v>
      </c>
      <c r="F27" s="10">
        <v>1468800</v>
      </c>
      <c r="G27" s="14" t="s">
        <v>13</v>
      </c>
      <c r="I27" s="16">
        <f>表1[[#This Row],[RoseUpExp]]/表1[[#This Row],[RoseExpPro]]</f>
        <v>1588.2352941176471</v>
      </c>
      <c r="J27" s="16">
        <v>3</v>
      </c>
      <c r="K27" s="16">
        <f>表1[[#This Row],[RoseExpPro]]*60*24</f>
        <v>489600</v>
      </c>
      <c r="L27" s="16">
        <f t="shared" si="0"/>
        <v>1468800</v>
      </c>
      <c r="M27" s="16">
        <f>L27/表1[[#This Row],[RoseUpExp]]</f>
        <v>2.72</v>
      </c>
      <c r="N27" s="16"/>
      <c r="O27" s="16">
        <f>L27/表1[[#This Row],[OffLinkExp]]</f>
        <v>1</v>
      </c>
      <c r="P27" s="16"/>
    </row>
    <row r="28" spans="1:16" s="5" customFormat="1" ht="20.100000000000001" customHeight="1" x14ac:dyDescent="0.15">
      <c r="A28" s="8">
        <v>23</v>
      </c>
      <c r="B28" s="6">
        <v>620000</v>
      </c>
      <c r="C28" s="6">
        <v>137800</v>
      </c>
      <c r="D28" s="6">
        <v>370</v>
      </c>
      <c r="E28" s="6">
        <f t="shared" si="1"/>
        <v>840</v>
      </c>
      <c r="F28" s="10">
        <v>1598400</v>
      </c>
      <c r="G28" s="14" t="s">
        <v>13</v>
      </c>
      <c r="I28" s="16">
        <f>表1[[#This Row],[RoseUpExp]]/表1[[#This Row],[RoseExpPro]]</f>
        <v>1675.6756756756756</v>
      </c>
      <c r="J28" s="16">
        <v>3</v>
      </c>
      <c r="K28" s="16">
        <f>表1[[#This Row],[RoseExpPro]]*60*24</f>
        <v>532800</v>
      </c>
      <c r="L28" s="16">
        <f t="shared" si="0"/>
        <v>1598400</v>
      </c>
      <c r="M28" s="16">
        <f>L28/表1[[#This Row],[RoseUpExp]]</f>
        <v>2.5780645161290323</v>
      </c>
      <c r="N28" s="16"/>
      <c r="O28" s="16">
        <f>L28/表1[[#This Row],[OffLinkExp]]</f>
        <v>1</v>
      </c>
      <c r="P28" s="16"/>
    </row>
    <row r="29" spans="1:16" s="5" customFormat="1" ht="20.100000000000001" customHeight="1" x14ac:dyDescent="0.15">
      <c r="A29" s="8">
        <v>24</v>
      </c>
      <c r="B29" s="6">
        <v>700000</v>
      </c>
      <c r="C29" s="6">
        <v>155530</v>
      </c>
      <c r="D29" s="6">
        <v>400</v>
      </c>
      <c r="E29" s="6">
        <f t="shared" si="1"/>
        <v>855</v>
      </c>
      <c r="F29" s="10">
        <v>1728000</v>
      </c>
      <c r="G29" s="14" t="s">
        <v>13</v>
      </c>
      <c r="I29" s="16">
        <f>表1[[#This Row],[RoseUpExp]]/表1[[#This Row],[RoseExpPro]]</f>
        <v>1750</v>
      </c>
      <c r="J29" s="16">
        <v>3</v>
      </c>
      <c r="K29" s="16">
        <f>表1[[#This Row],[RoseExpPro]]*60*24</f>
        <v>576000</v>
      </c>
      <c r="L29" s="16">
        <f t="shared" si="0"/>
        <v>1728000</v>
      </c>
      <c r="M29" s="16">
        <f>L29/表1[[#This Row],[RoseUpExp]]</f>
        <v>2.4685714285714284</v>
      </c>
      <c r="N29" s="16"/>
      <c r="O29" s="16">
        <f>L29/表1[[#This Row],[OffLinkExp]]</f>
        <v>1</v>
      </c>
      <c r="P29" s="16"/>
    </row>
    <row r="30" spans="1:16" s="5" customFormat="1" ht="20.100000000000001" customHeight="1" x14ac:dyDescent="0.15">
      <c r="A30" s="8">
        <v>25</v>
      </c>
      <c r="B30" s="6">
        <v>780000</v>
      </c>
      <c r="C30" s="6">
        <v>173330</v>
      </c>
      <c r="D30" s="6">
        <v>430</v>
      </c>
      <c r="E30" s="6">
        <f t="shared" si="1"/>
        <v>870</v>
      </c>
      <c r="F30" s="10">
        <v>1857600</v>
      </c>
      <c r="G30" s="14" t="s">
        <v>13</v>
      </c>
      <c r="I30" s="16">
        <f>表1[[#This Row],[RoseUpExp]]/表1[[#This Row],[RoseExpPro]]</f>
        <v>1813.953488372093</v>
      </c>
      <c r="J30" s="16">
        <v>3</v>
      </c>
      <c r="K30" s="16">
        <f>表1[[#This Row],[RoseExpPro]]*60*24</f>
        <v>619200</v>
      </c>
      <c r="L30" s="16">
        <f t="shared" si="0"/>
        <v>1857600</v>
      </c>
      <c r="M30" s="16">
        <f>L30/表1[[#This Row],[RoseUpExp]]</f>
        <v>2.3815384615384616</v>
      </c>
      <c r="N30" s="16"/>
      <c r="O30" s="16">
        <f>L30/表1[[#This Row],[OffLinkExp]]</f>
        <v>1</v>
      </c>
      <c r="P30" s="16"/>
    </row>
    <row r="31" spans="1:16" s="5" customFormat="1" ht="20.100000000000001" customHeight="1" x14ac:dyDescent="0.15">
      <c r="A31" s="8">
        <v>26</v>
      </c>
      <c r="B31" s="6">
        <v>860000</v>
      </c>
      <c r="C31" s="6">
        <v>191130</v>
      </c>
      <c r="D31" s="6">
        <v>460</v>
      </c>
      <c r="E31" s="6">
        <f t="shared" si="1"/>
        <v>885</v>
      </c>
      <c r="F31" s="10">
        <v>1987200</v>
      </c>
      <c r="G31" s="14" t="s">
        <v>13</v>
      </c>
      <c r="I31" s="16">
        <f>表1[[#This Row],[RoseUpExp]]/表1[[#This Row],[RoseExpPro]]</f>
        <v>1869.5652173913043</v>
      </c>
      <c r="J31" s="16">
        <v>3</v>
      </c>
      <c r="K31" s="16">
        <f>表1[[#This Row],[RoseExpPro]]*60*24</f>
        <v>662400</v>
      </c>
      <c r="L31" s="16">
        <f t="shared" si="0"/>
        <v>1987200</v>
      </c>
      <c r="M31" s="16">
        <f>L31/表1[[#This Row],[RoseUpExp]]</f>
        <v>2.3106976744186047</v>
      </c>
      <c r="N31" s="16"/>
      <c r="O31" s="16">
        <f>L31/表1[[#This Row],[OffLinkExp]]</f>
        <v>1</v>
      </c>
      <c r="P31" s="16"/>
    </row>
    <row r="32" spans="1:16" s="5" customFormat="1" ht="20.100000000000001" customHeight="1" x14ac:dyDescent="0.15">
      <c r="A32" s="8">
        <v>27</v>
      </c>
      <c r="B32" s="6">
        <v>950000</v>
      </c>
      <c r="C32" s="6">
        <v>211130</v>
      </c>
      <c r="D32" s="6">
        <v>490</v>
      </c>
      <c r="E32" s="6">
        <f t="shared" si="1"/>
        <v>900</v>
      </c>
      <c r="F32" s="10">
        <v>2116800</v>
      </c>
      <c r="G32" s="14" t="s">
        <v>13</v>
      </c>
      <c r="I32" s="16">
        <f>表1[[#This Row],[RoseUpExp]]/表1[[#This Row],[RoseExpPro]]</f>
        <v>1938.7755102040817</v>
      </c>
      <c r="J32" s="16">
        <v>3</v>
      </c>
      <c r="K32" s="16">
        <f>表1[[#This Row],[RoseExpPro]]*60*24</f>
        <v>705600</v>
      </c>
      <c r="L32" s="16">
        <f t="shared" si="0"/>
        <v>2116800</v>
      </c>
      <c r="M32" s="16">
        <f>L32/表1[[#This Row],[RoseUpExp]]</f>
        <v>2.2282105263157894</v>
      </c>
      <c r="N32" s="16"/>
      <c r="O32" s="16">
        <f>L32/表1[[#This Row],[OffLinkExp]]</f>
        <v>1</v>
      </c>
      <c r="P32" s="16"/>
    </row>
    <row r="33" spans="1:16" s="5" customFormat="1" ht="20.100000000000001" customHeight="1" x14ac:dyDescent="0.15">
      <c r="A33" s="8">
        <v>28</v>
      </c>
      <c r="B33" s="6">
        <v>1040000</v>
      </c>
      <c r="C33" s="6">
        <v>231130</v>
      </c>
      <c r="D33" s="6">
        <v>520</v>
      </c>
      <c r="E33" s="6">
        <f t="shared" si="1"/>
        <v>915</v>
      </c>
      <c r="F33" s="10">
        <v>2246400</v>
      </c>
      <c r="G33" s="14" t="s">
        <v>13</v>
      </c>
      <c r="I33" s="16">
        <f>表1[[#This Row],[RoseUpExp]]/表1[[#This Row],[RoseExpPro]]</f>
        <v>2000</v>
      </c>
      <c r="J33" s="16">
        <v>3</v>
      </c>
      <c r="K33" s="16">
        <f>表1[[#This Row],[RoseExpPro]]*60*24</f>
        <v>748800</v>
      </c>
      <c r="L33" s="16">
        <f t="shared" si="0"/>
        <v>2246400</v>
      </c>
      <c r="M33" s="16">
        <f>L33/表1[[#This Row],[RoseUpExp]]</f>
        <v>2.16</v>
      </c>
      <c r="N33" s="16"/>
      <c r="O33" s="16">
        <f>L33/表1[[#This Row],[OffLinkExp]]</f>
        <v>1</v>
      </c>
      <c r="P33" s="16"/>
    </row>
    <row r="34" spans="1:16" s="5" customFormat="1" ht="20.100000000000001" customHeight="1" x14ac:dyDescent="0.15">
      <c r="A34" s="8">
        <v>29</v>
      </c>
      <c r="B34" s="6">
        <v>1130000</v>
      </c>
      <c r="C34" s="6">
        <v>251130</v>
      </c>
      <c r="D34" s="6">
        <v>550</v>
      </c>
      <c r="E34" s="6">
        <f t="shared" si="1"/>
        <v>930</v>
      </c>
      <c r="F34" s="10">
        <v>2376000</v>
      </c>
      <c r="G34" s="14" t="s">
        <v>13</v>
      </c>
      <c r="I34" s="16">
        <f>表1[[#This Row],[RoseUpExp]]/表1[[#This Row],[RoseExpPro]]</f>
        <v>2054.5454545454545</v>
      </c>
      <c r="J34" s="16">
        <v>3</v>
      </c>
      <c r="K34" s="16">
        <f>表1[[#This Row],[RoseExpPro]]*60*24</f>
        <v>792000</v>
      </c>
      <c r="L34" s="16">
        <f t="shared" si="0"/>
        <v>2376000</v>
      </c>
      <c r="M34" s="16">
        <f>L34/表1[[#This Row],[RoseUpExp]]</f>
        <v>2.102654867256637</v>
      </c>
      <c r="N34" s="16"/>
      <c r="O34" s="16">
        <f>L34/表1[[#This Row],[OffLinkExp]]</f>
        <v>1</v>
      </c>
      <c r="P34" s="16"/>
    </row>
    <row r="35" spans="1:16" s="5" customFormat="1" ht="20.100000000000001" customHeight="1" x14ac:dyDescent="0.15">
      <c r="A35" s="8">
        <v>30</v>
      </c>
      <c r="B35" s="6">
        <v>1160000</v>
      </c>
      <c r="C35" s="6">
        <v>257800</v>
      </c>
      <c r="D35" s="6">
        <v>580</v>
      </c>
      <c r="E35" s="6">
        <f t="shared" si="1"/>
        <v>945</v>
      </c>
      <c r="F35" s="10">
        <v>2505600</v>
      </c>
      <c r="G35" s="14" t="s">
        <v>14</v>
      </c>
      <c r="I35" s="16">
        <f>表1[[#This Row],[RoseUpExp]]/表1[[#This Row],[RoseExpPro]]</f>
        <v>2000</v>
      </c>
      <c r="J35" s="16">
        <v>3</v>
      </c>
      <c r="K35" s="16">
        <f>表1[[#This Row],[RoseExpPro]]*60*24</f>
        <v>835200</v>
      </c>
      <c r="L35" s="16">
        <f t="shared" si="0"/>
        <v>2505600</v>
      </c>
      <c r="M35" s="16">
        <f>L35/表1[[#This Row],[RoseUpExp]]</f>
        <v>2.16</v>
      </c>
      <c r="N35" s="16"/>
      <c r="O35" s="16">
        <f>L35/表1[[#This Row],[OffLinkExp]]</f>
        <v>1</v>
      </c>
      <c r="P35" s="16"/>
    </row>
    <row r="36" spans="1:16" s="5" customFormat="1" ht="20.100000000000001" customHeight="1" x14ac:dyDescent="0.15">
      <c r="A36" s="8">
        <v>31</v>
      </c>
      <c r="B36" s="6">
        <v>1480000</v>
      </c>
      <c r="C36" s="6">
        <v>328870</v>
      </c>
      <c r="D36" s="6">
        <v>610</v>
      </c>
      <c r="E36" s="6">
        <f t="shared" si="1"/>
        <v>960</v>
      </c>
      <c r="F36" s="10">
        <v>2635200</v>
      </c>
      <c r="G36" s="14" t="s">
        <v>14</v>
      </c>
      <c r="I36" s="16">
        <f>表1[[#This Row],[RoseUpExp]]/表1[[#This Row],[RoseExpPro]]</f>
        <v>2426.2295081967213</v>
      </c>
      <c r="J36" s="16">
        <v>3</v>
      </c>
      <c r="K36" s="16">
        <f>表1[[#This Row],[RoseExpPro]]*60*24</f>
        <v>878400</v>
      </c>
      <c r="L36" s="16">
        <f t="shared" si="0"/>
        <v>2635200</v>
      </c>
      <c r="M36" s="16">
        <f>L36/表1[[#This Row],[RoseUpExp]]</f>
        <v>1.7805405405405406</v>
      </c>
      <c r="N36" s="16"/>
      <c r="O36" s="16">
        <f>L36/表1[[#This Row],[OffLinkExp]]</f>
        <v>1</v>
      </c>
      <c r="P36" s="16"/>
    </row>
    <row r="37" spans="1:16" s="5" customFormat="1" ht="20.100000000000001" customHeight="1" x14ac:dyDescent="0.15">
      <c r="A37" s="8">
        <v>32</v>
      </c>
      <c r="B37" s="6">
        <v>1800000</v>
      </c>
      <c r="C37" s="6">
        <v>400000</v>
      </c>
      <c r="D37" s="6">
        <v>640</v>
      </c>
      <c r="E37" s="6">
        <f t="shared" si="1"/>
        <v>975</v>
      </c>
      <c r="F37" s="10">
        <v>2764800</v>
      </c>
      <c r="G37" s="14" t="s">
        <v>14</v>
      </c>
      <c r="I37" s="16">
        <f>表1[[#This Row],[RoseUpExp]]/表1[[#This Row],[RoseExpPro]]</f>
        <v>2812.5</v>
      </c>
      <c r="J37" s="16">
        <v>3</v>
      </c>
      <c r="K37" s="16">
        <f>表1[[#This Row],[RoseExpPro]]*60*24</f>
        <v>921600</v>
      </c>
      <c r="L37" s="16">
        <f t="shared" si="0"/>
        <v>2764800</v>
      </c>
      <c r="M37" s="16">
        <f>L37/表1[[#This Row],[RoseUpExp]]</f>
        <v>1.536</v>
      </c>
      <c r="N37" s="16"/>
      <c r="O37" s="16">
        <f>L37/表1[[#This Row],[OffLinkExp]]</f>
        <v>1</v>
      </c>
      <c r="P37" s="16"/>
    </row>
    <row r="38" spans="1:16" s="5" customFormat="1" ht="20.100000000000001" customHeight="1" x14ac:dyDescent="0.15">
      <c r="A38" s="8">
        <v>33</v>
      </c>
      <c r="B38" s="6">
        <v>2140000</v>
      </c>
      <c r="C38" s="6">
        <v>475530</v>
      </c>
      <c r="D38" s="6">
        <v>670</v>
      </c>
      <c r="E38" s="6">
        <f t="shared" si="1"/>
        <v>990</v>
      </c>
      <c r="F38" s="10">
        <v>2894400</v>
      </c>
      <c r="G38" s="14" t="s">
        <v>14</v>
      </c>
      <c r="I38" s="16">
        <f>表1[[#This Row],[RoseUpExp]]/表1[[#This Row],[RoseExpPro]]</f>
        <v>3194.0298507462685</v>
      </c>
      <c r="J38" s="16">
        <v>3</v>
      </c>
      <c r="K38" s="16">
        <f>表1[[#This Row],[RoseExpPro]]*60*24</f>
        <v>964800</v>
      </c>
      <c r="L38" s="16">
        <f t="shared" si="0"/>
        <v>2894400</v>
      </c>
      <c r="M38" s="16">
        <f>L38/表1[[#This Row],[RoseUpExp]]</f>
        <v>1.3525233644859813</v>
      </c>
      <c r="N38" s="16"/>
      <c r="O38" s="16">
        <f>L38/表1[[#This Row],[OffLinkExp]]</f>
        <v>1</v>
      </c>
      <c r="P38" s="16"/>
    </row>
    <row r="39" spans="1:16" s="5" customFormat="1" ht="20.100000000000001" customHeight="1" x14ac:dyDescent="0.15">
      <c r="A39" s="8">
        <v>34</v>
      </c>
      <c r="B39" s="6">
        <v>2480000</v>
      </c>
      <c r="C39" s="6">
        <v>551130</v>
      </c>
      <c r="D39" s="6">
        <v>700</v>
      </c>
      <c r="E39" s="6">
        <f t="shared" si="1"/>
        <v>1005</v>
      </c>
      <c r="F39" s="10">
        <v>3024000</v>
      </c>
      <c r="G39" s="14" t="s">
        <v>14</v>
      </c>
      <c r="I39" s="16">
        <f>表1[[#This Row],[RoseUpExp]]/表1[[#This Row],[RoseExpPro]]</f>
        <v>3542.8571428571427</v>
      </c>
      <c r="J39" s="16">
        <v>3</v>
      </c>
      <c r="K39" s="16">
        <f>表1[[#This Row],[RoseExpPro]]*60*24</f>
        <v>1008000</v>
      </c>
      <c r="L39" s="16">
        <f t="shared" si="0"/>
        <v>3024000</v>
      </c>
      <c r="M39" s="16">
        <f>L39/表1[[#This Row],[RoseUpExp]]</f>
        <v>1.2193548387096773</v>
      </c>
      <c r="N39" s="16"/>
      <c r="O39" s="16">
        <f>L39/表1[[#This Row],[OffLinkExp]]</f>
        <v>1</v>
      </c>
      <c r="P39" s="16"/>
    </row>
    <row r="40" spans="1:16" s="5" customFormat="1" ht="20.100000000000001" customHeight="1" x14ac:dyDescent="0.15">
      <c r="A40" s="8">
        <v>35</v>
      </c>
      <c r="B40" s="6">
        <v>2840000</v>
      </c>
      <c r="C40" s="6">
        <v>631130</v>
      </c>
      <c r="D40" s="6">
        <v>730</v>
      </c>
      <c r="E40" s="6">
        <f t="shared" si="1"/>
        <v>1020</v>
      </c>
      <c r="F40" s="10">
        <v>3153600</v>
      </c>
      <c r="G40" s="14" t="s">
        <v>14</v>
      </c>
      <c r="I40" s="16">
        <f>表1[[#This Row],[RoseUpExp]]/表1[[#This Row],[RoseExpPro]]</f>
        <v>3890.4109589041095</v>
      </c>
      <c r="J40" s="16">
        <v>3</v>
      </c>
      <c r="K40" s="16">
        <f>表1[[#This Row],[RoseExpPro]]*60*24</f>
        <v>1051200</v>
      </c>
      <c r="L40" s="16">
        <f t="shared" si="0"/>
        <v>3153600</v>
      </c>
      <c r="M40" s="16">
        <f>L40/表1[[#This Row],[RoseUpExp]]</f>
        <v>1.1104225352112675</v>
      </c>
      <c r="N40" s="16"/>
      <c r="O40" s="16">
        <f>L40/表1[[#This Row],[OffLinkExp]]</f>
        <v>1</v>
      </c>
      <c r="P40" s="16"/>
    </row>
    <row r="41" spans="1:16" s="5" customFormat="1" ht="20.100000000000001" customHeight="1" x14ac:dyDescent="0.15">
      <c r="A41" s="8">
        <v>36</v>
      </c>
      <c r="B41" s="6">
        <v>3210000</v>
      </c>
      <c r="C41" s="6">
        <v>713330</v>
      </c>
      <c r="D41" s="6">
        <v>760</v>
      </c>
      <c r="E41" s="6">
        <f t="shared" si="1"/>
        <v>1035</v>
      </c>
      <c r="F41" s="10">
        <v>3283200</v>
      </c>
      <c r="G41" s="14" t="s">
        <v>14</v>
      </c>
      <c r="I41" s="16">
        <f>表1[[#This Row],[RoseUpExp]]/表1[[#This Row],[RoseExpPro]]</f>
        <v>4223.6842105263158</v>
      </c>
      <c r="J41" s="16">
        <v>3</v>
      </c>
      <c r="K41" s="16">
        <f>表1[[#This Row],[RoseExpPro]]*60*24</f>
        <v>1094400</v>
      </c>
      <c r="L41" s="16">
        <f t="shared" si="0"/>
        <v>3283200</v>
      </c>
      <c r="M41" s="16">
        <f>L41/表1[[#This Row],[RoseUpExp]]</f>
        <v>1.0228037383177571</v>
      </c>
      <c r="N41" s="16"/>
      <c r="O41" s="16">
        <f>L41/表1[[#This Row],[OffLinkExp]]</f>
        <v>1</v>
      </c>
      <c r="P41" s="16"/>
    </row>
    <row r="42" spans="1:16" s="5" customFormat="1" ht="20.100000000000001" customHeight="1" x14ac:dyDescent="0.15">
      <c r="A42" s="8">
        <v>37</v>
      </c>
      <c r="B42" s="6">
        <v>3590000</v>
      </c>
      <c r="C42" s="6">
        <v>797800</v>
      </c>
      <c r="D42" s="6">
        <v>790</v>
      </c>
      <c r="E42" s="6">
        <f t="shared" si="1"/>
        <v>1050</v>
      </c>
      <c r="F42" s="10">
        <v>3412800</v>
      </c>
      <c r="G42" s="14" t="s">
        <v>14</v>
      </c>
      <c r="I42" s="16">
        <f>表1[[#This Row],[RoseUpExp]]/表1[[#This Row],[RoseExpPro]]</f>
        <v>4544.3037974683548</v>
      </c>
      <c r="J42" s="16">
        <v>3</v>
      </c>
      <c r="K42" s="16">
        <f>表1[[#This Row],[RoseExpPro]]*60*24</f>
        <v>1137600</v>
      </c>
      <c r="L42" s="16">
        <f t="shared" si="0"/>
        <v>3412800</v>
      </c>
      <c r="M42" s="16">
        <f>L42/表1[[#This Row],[RoseUpExp]]</f>
        <v>0.9506406685236769</v>
      </c>
      <c r="N42" s="16"/>
      <c r="O42" s="16">
        <f>L42/表1[[#This Row],[OffLinkExp]]</f>
        <v>1</v>
      </c>
      <c r="P42" s="16"/>
    </row>
    <row r="43" spans="1:16" s="5" customFormat="1" ht="20.100000000000001" customHeight="1" x14ac:dyDescent="0.15">
      <c r="A43" s="8">
        <v>38</v>
      </c>
      <c r="B43" s="6">
        <v>3980000</v>
      </c>
      <c r="C43" s="6">
        <v>884470</v>
      </c>
      <c r="D43" s="6">
        <v>820</v>
      </c>
      <c r="E43" s="6">
        <f t="shared" si="1"/>
        <v>1065</v>
      </c>
      <c r="F43" s="10">
        <v>3542400</v>
      </c>
      <c r="G43" s="14" t="s">
        <v>14</v>
      </c>
      <c r="I43" s="16">
        <f>表1[[#This Row],[RoseUpExp]]/表1[[#This Row],[RoseExpPro]]</f>
        <v>4853.6585365853662</v>
      </c>
      <c r="J43" s="16">
        <v>3</v>
      </c>
      <c r="K43" s="16">
        <f>表1[[#This Row],[RoseExpPro]]*60*24</f>
        <v>1180800</v>
      </c>
      <c r="L43" s="16">
        <f t="shared" si="0"/>
        <v>3542400</v>
      </c>
      <c r="M43" s="16">
        <f>L43/表1[[#This Row],[RoseUpExp]]</f>
        <v>0.89005025125628145</v>
      </c>
      <c r="N43" s="16"/>
      <c r="O43" s="16">
        <f>L43/表1[[#This Row],[OffLinkExp]]</f>
        <v>1</v>
      </c>
      <c r="P43" s="16"/>
    </row>
    <row r="44" spans="1:16" s="5" customFormat="1" ht="20.100000000000001" customHeight="1" x14ac:dyDescent="0.15">
      <c r="A44" s="8">
        <v>39</v>
      </c>
      <c r="B44" s="6">
        <v>4400000</v>
      </c>
      <c r="C44" s="6">
        <v>977800</v>
      </c>
      <c r="D44" s="6">
        <v>850</v>
      </c>
      <c r="E44" s="6">
        <f t="shared" si="1"/>
        <v>1080</v>
      </c>
      <c r="F44" s="10">
        <v>3672000</v>
      </c>
      <c r="G44" s="14" t="s">
        <v>14</v>
      </c>
      <c r="I44" s="16">
        <f>表1[[#This Row],[RoseUpExp]]/表1[[#This Row],[RoseExpPro]]</f>
        <v>5176.4705882352937</v>
      </c>
      <c r="J44" s="16">
        <v>3</v>
      </c>
      <c r="K44" s="16">
        <f>表1[[#This Row],[RoseExpPro]]*60*24</f>
        <v>1224000</v>
      </c>
      <c r="L44" s="16">
        <f t="shared" si="0"/>
        <v>3672000</v>
      </c>
      <c r="M44" s="16">
        <f>L44/表1[[#This Row],[RoseUpExp]]</f>
        <v>0.83454545454545459</v>
      </c>
      <c r="N44" s="16"/>
      <c r="O44" s="16">
        <f>L44/表1[[#This Row],[OffLinkExp]]</f>
        <v>1</v>
      </c>
      <c r="P44" s="16"/>
    </row>
    <row r="45" spans="1:16" s="5" customFormat="1" ht="20.100000000000001" customHeight="1" x14ac:dyDescent="0.15">
      <c r="A45" s="8">
        <v>40</v>
      </c>
      <c r="B45" s="6">
        <v>4500000</v>
      </c>
      <c r="C45" s="6">
        <v>1000000</v>
      </c>
      <c r="D45" s="6">
        <v>880</v>
      </c>
      <c r="E45" s="6">
        <f t="shared" si="1"/>
        <v>1095</v>
      </c>
      <c r="F45" s="10">
        <v>3801600</v>
      </c>
      <c r="G45" s="14" t="s">
        <v>15</v>
      </c>
      <c r="I45" s="16">
        <f>表1[[#This Row],[RoseUpExp]]/表1[[#This Row],[RoseExpPro]]</f>
        <v>5113.636363636364</v>
      </c>
      <c r="J45" s="16">
        <v>3</v>
      </c>
      <c r="K45" s="16">
        <f>表1[[#This Row],[RoseExpPro]]*60*24</f>
        <v>1267200</v>
      </c>
      <c r="L45" s="16">
        <f t="shared" si="0"/>
        <v>3801600</v>
      </c>
      <c r="M45" s="16">
        <f>L45/表1[[#This Row],[RoseUpExp]]</f>
        <v>0.8448</v>
      </c>
      <c r="N45" s="16"/>
      <c r="O45" s="16">
        <f>L45/表1[[#This Row],[OffLinkExp]]</f>
        <v>1</v>
      </c>
      <c r="P45" s="16"/>
    </row>
    <row r="46" spans="1:16" s="5" customFormat="1" ht="20.100000000000001" customHeight="1" x14ac:dyDescent="0.15">
      <c r="A46" s="8">
        <v>41</v>
      </c>
      <c r="B46" s="6">
        <v>5600000</v>
      </c>
      <c r="C46" s="6">
        <v>1244470</v>
      </c>
      <c r="D46" s="6">
        <v>910</v>
      </c>
      <c r="E46" s="6">
        <f t="shared" si="1"/>
        <v>1110</v>
      </c>
      <c r="F46" s="10">
        <v>3931200</v>
      </c>
      <c r="G46" s="14" t="s">
        <v>15</v>
      </c>
      <c r="I46" s="16">
        <f>表1[[#This Row],[RoseUpExp]]/表1[[#This Row],[RoseExpPro]]</f>
        <v>6153.8461538461543</v>
      </c>
      <c r="J46" s="16">
        <v>3</v>
      </c>
      <c r="K46" s="16">
        <f>表1[[#This Row],[RoseExpPro]]*60*24</f>
        <v>1310400</v>
      </c>
      <c r="L46" s="16">
        <f t="shared" si="0"/>
        <v>3931200</v>
      </c>
      <c r="M46" s="16">
        <f>L46/表1[[#This Row],[RoseUpExp]]</f>
        <v>0.70199999999999996</v>
      </c>
      <c r="N46" s="16"/>
      <c r="O46" s="16">
        <f>L46/表1[[#This Row],[OffLinkExp]]</f>
        <v>1</v>
      </c>
      <c r="P46" s="16"/>
    </row>
    <row r="47" spans="1:16" s="5" customFormat="1" ht="20.100000000000001" customHeight="1" x14ac:dyDescent="0.15">
      <c r="A47" s="8">
        <v>42</v>
      </c>
      <c r="B47" s="6">
        <v>6600000</v>
      </c>
      <c r="C47" s="6">
        <v>1466670</v>
      </c>
      <c r="D47" s="6">
        <v>940</v>
      </c>
      <c r="E47" s="6">
        <f t="shared" si="1"/>
        <v>1125</v>
      </c>
      <c r="F47" s="10">
        <v>4060800</v>
      </c>
      <c r="G47" s="14" t="s">
        <v>15</v>
      </c>
      <c r="I47" s="16">
        <f>表1[[#This Row],[RoseUpExp]]/表1[[#This Row],[RoseExpPro]]</f>
        <v>7021.2765957446809</v>
      </c>
      <c r="J47" s="16">
        <v>3</v>
      </c>
      <c r="K47" s="16">
        <f>表1[[#This Row],[RoseExpPro]]*60*24</f>
        <v>1353600</v>
      </c>
      <c r="L47" s="16">
        <f t="shared" si="0"/>
        <v>4060800</v>
      </c>
      <c r="M47" s="16">
        <f>L47/表1[[#This Row],[RoseUpExp]]</f>
        <v>0.6152727272727273</v>
      </c>
      <c r="N47" s="16"/>
      <c r="O47" s="16">
        <f>L47/表1[[#This Row],[OffLinkExp]]</f>
        <v>1</v>
      </c>
      <c r="P47" s="16"/>
    </row>
    <row r="48" spans="1:16" s="5" customFormat="1" ht="20.100000000000001" customHeight="1" x14ac:dyDescent="0.15">
      <c r="A48" s="8">
        <v>43</v>
      </c>
      <c r="B48" s="6">
        <v>7700000</v>
      </c>
      <c r="C48" s="6">
        <v>1711130</v>
      </c>
      <c r="D48" s="6">
        <v>970</v>
      </c>
      <c r="E48" s="6">
        <f t="shared" si="1"/>
        <v>1140</v>
      </c>
      <c r="F48" s="10">
        <v>4190400</v>
      </c>
      <c r="G48" s="14" t="s">
        <v>15</v>
      </c>
      <c r="I48" s="16">
        <f>表1[[#This Row],[RoseUpExp]]/表1[[#This Row],[RoseExpPro]]</f>
        <v>7938.144329896907</v>
      </c>
      <c r="J48" s="16">
        <v>3</v>
      </c>
      <c r="K48" s="16">
        <f>表1[[#This Row],[RoseExpPro]]*60*24</f>
        <v>1396800</v>
      </c>
      <c r="L48" s="16">
        <f t="shared" si="0"/>
        <v>4190400</v>
      </c>
      <c r="M48" s="16">
        <f>L48/表1[[#This Row],[RoseUpExp]]</f>
        <v>0.54420779220779225</v>
      </c>
      <c r="N48" s="16"/>
      <c r="O48" s="16">
        <f>L48/表1[[#This Row],[OffLinkExp]]</f>
        <v>1</v>
      </c>
      <c r="P48" s="16"/>
    </row>
    <row r="49" spans="1:16" s="5" customFormat="1" ht="20.100000000000001" customHeight="1" x14ac:dyDescent="0.15">
      <c r="A49" s="8">
        <v>44</v>
      </c>
      <c r="B49" s="6">
        <v>8800000</v>
      </c>
      <c r="C49" s="6">
        <v>1955530</v>
      </c>
      <c r="D49" s="6">
        <v>1000</v>
      </c>
      <c r="E49" s="6">
        <f t="shared" si="1"/>
        <v>1155</v>
      </c>
      <c r="F49" s="10">
        <v>4320000</v>
      </c>
      <c r="G49" s="14" t="s">
        <v>15</v>
      </c>
      <c r="I49" s="16">
        <f>表1[[#This Row],[RoseUpExp]]/表1[[#This Row],[RoseExpPro]]</f>
        <v>8800</v>
      </c>
      <c r="J49" s="16">
        <v>3</v>
      </c>
      <c r="K49" s="16">
        <f>表1[[#This Row],[RoseExpPro]]*60*24</f>
        <v>1440000</v>
      </c>
      <c r="L49" s="16">
        <f t="shared" si="0"/>
        <v>4320000</v>
      </c>
      <c r="M49" s="16">
        <f>L49/表1[[#This Row],[RoseUpExp]]</f>
        <v>0.49090909090909091</v>
      </c>
      <c r="N49" s="16"/>
      <c r="O49" s="16">
        <f>L49/表1[[#This Row],[OffLinkExp]]</f>
        <v>1</v>
      </c>
      <c r="P49" s="16"/>
    </row>
    <row r="50" spans="1:16" s="5" customFormat="1" ht="20.100000000000001" customHeight="1" x14ac:dyDescent="0.15">
      <c r="A50" s="8">
        <v>45</v>
      </c>
      <c r="B50" s="6">
        <v>10000000</v>
      </c>
      <c r="C50" s="6">
        <v>2222200</v>
      </c>
      <c r="D50" s="6">
        <v>1030</v>
      </c>
      <c r="E50" s="6">
        <f t="shared" si="1"/>
        <v>1170</v>
      </c>
      <c r="F50" s="10">
        <v>4449600</v>
      </c>
      <c r="G50" s="14" t="s">
        <v>15</v>
      </c>
      <c r="I50" s="16">
        <f>表1[[#This Row],[RoseUpExp]]/表1[[#This Row],[RoseExpPro]]</f>
        <v>9708.7378640776697</v>
      </c>
      <c r="J50" s="16">
        <v>3</v>
      </c>
      <c r="K50" s="16">
        <f>表1[[#This Row],[RoseExpPro]]*60*24</f>
        <v>1483200</v>
      </c>
      <c r="L50" s="16">
        <f t="shared" si="0"/>
        <v>4449600</v>
      </c>
      <c r="M50" s="16">
        <f>L50/表1[[#This Row],[RoseUpExp]]</f>
        <v>0.44496000000000002</v>
      </c>
      <c r="N50" s="16"/>
      <c r="O50" s="16">
        <f>L50/表1[[#This Row],[OffLinkExp]]</f>
        <v>1</v>
      </c>
      <c r="P50" s="16"/>
    </row>
    <row r="51" spans="1:16" s="5" customFormat="1" ht="20.100000000000001" customHeight="1" x14ac:dyDescent="0.15">
      <c r="A51" s="8">
        <v>46</v>
      </c>
      <c r="B51" s="6">
        <v>11200000</v>
      </c>
      <c r="C51" s="6">
        <v>2488870</v>
      </c>
      <c r="D51" s="6">
        <v>1060</v>
      </c>
      <c r="E51" s="6">
        <f t="shared" si="1"/>
        <v>1185</v>
      </c>
      <c r="F51" s="10">
        <v>4579200</v>
      </c>
      <c r="G51" s="14" t="s">
        <v>15</v>
      </c>
      <c r="I51" s="16">
        <f>表1[[#This Row],[RoseUpExp]]/表1[[#This Row],[RoseExpPro]]</f>
        <v>10566.037735849057</v>
      </c>
      <c r="J51" s="16">
        <v>3</v>
      </c>
      <c r="K51" s="16">
        <f>表1[[#This Row],[RoseExpPro]]*60*24</f>
        <v>1526400</v>
      </c>
      <c r="L51" s="16">
        <f t="shared" si="0"/>
        <v>4579200</v>
      </c>
      <c r="M51" s="16">
        <f>L51/表1[[#This Row],[RoseUpExp]]</f>
        <v>0.40885714285714286</v>
      </c>
      <c r="N51" s="16"/>
      <c r="O51" s="16">
        <f>L51/表1[[#This Row],[OffLinkExp]]</f>
        <v>1</v>
      </c>
      <c r="P51" s="16"/>
    </row>
    <row r="52" spans="1:16" s="5" customFormat="1" ht="20.100000000000001" customHeight="1" x14ac:dyDescent="0.15">
      <c r="A52" s="8">
        <v>47</v>
      </c>
      <c r="B52" s="6">
        <v>12400000</v>
      </c>
      <c r="C52" s="6">
        <v>2755530</v>
      </c>
      <c r="D52" s="6">
        <v>1090</v>
      </c>
      <c r="E52" s="6">
        <f t="shared" si="1"/>
        <v>1200</v>
      </c>
      <c r="F52" s="10">
        <v>4708800</v>
      </c>
      <c r="G52" s="14" t="s">
        <v>15</v>
      </c>
      <c r="I52" s="16">
        <f>表1[[#This Row],[RoseUpExp]]/表1[[#This Row],[RoseExpPro]]</f>
        <v>11376.146788990825</v>
      </c>
      <c r="J52" s="16">
        <v>3</v>
      </c>
      <c r="K52" s="16">
        <f>表1[[#This Row],[RoseExpPro]]*60*24</f>
        <v>1569600</v>
      </c>
      <c r="L52" s="16">
        <f t="shared" si="0"/>
        <v>4708800</v>
      </c>
      <c r="M52" s="16">
        <f>L52/表1[[#This Row],[RoseUpExp]]</f>
        <v>0.37974193548387097</v>
      </c>
      <c r="N52" s="16"/>
      <c r="O52" s="16">
        <f>L52/表1[[#This Row],[OffLinkExp]]</f>
        <v>1</v>
      </c>
      <c r="P52" s="16"/>
    </row>
    <row r="53" spans="1:16" s="5" customFormat="1" ht="20.100000000000001" customHeight="1" x14ac:dyDescent="0.15">
      <c r="A53" s="8">
        <v>48</v>
      </c>
      <c r="B53" s="6">
        <v>13700000</v>
      </c>
      <c r="C53" s="6">
        <v>3044470</v>
      </c>
      <c r="D53" s="6">
        <v>1120</v>
      </c>
      <c r="E53" s="6">
        <f t="shared" si="1"/>
        <v>1215</v>
      </c>
      <c r="F53" s="10">
        <v>4838400</v>
      </c>
      <c r="G53" s="14" t="s">
        <v>15</v>
      </c>
      <c r="I53" s="16">
        <f>表1[[#This Row],[RoseUpExp]]/表1[[#This Row],[RoseExpPro]]</f>
        <v>12232.142857142857</v>
      </c>
      <c r="J53" s="16">
        <v>3</v>
      </c>
      <c r="K53" s="16">
        <f>表1[[#This Row],[RoseExpPro]]*60*24</f>
        <v>1612800</v>
      </c>
      <c r="L53" s="16">
        <f t="shared" si="0"/>
        <v>4838400</v>
      </c>
      <c r="M53" s="16">
        <f>L53/表1[[#This Row],[RoseUpExp]]</f>
        <v>0.35316788321167886</v>
      </c>
      <c r="N53" s="16"/>
      <c r="O53" s="16">
        <f>L53/表1[[#This Row],[OffLinkExp]]</f>
        <v>1</v>
      </c>
      <c r="P53" s="16"/>
    </row>
    <row r="54" spans="1:16" s="5" customFormat="1" ht="20.100000000000001" customHeight="1" x14ac:dyDescent="0.15">
      <c r="A54" s="8">
        <v>49</v>
      </c>
      <c r="B54" s="6">
        <v>15000000</v>
      </c>
      <c r="C54" s="6">
        <v>3333330</v>
      </c>
      <c r="D54" s="6">
        <v>1150</v>
      </c>
      <c r="E54" s="6">
        <f t="shared" si="1"/>
        <v>1230</v>
      </c>
      <c r="F54" s="10">
        <v>4968000</v>
      </c>
      <c r="G54" s="14" t="s">
        <v>15</v>
      </c>
      <c r="I54" s="16">
        <f>表1[[#This Row],[RoseUpExp]]/表1[[#This Row],[RoseExpPro]]</f>
        <v>13043.478260869566</v>
      </c>
      <c r="J54" s="16">
        <v>3</v>
      </c>
      <c r="K54" s="16">
        <f>表1[[#This Row],[RoseExpPro]]*60*24</f>
        <v>1656000</v>
      </c>
      <c r="L54" s="16">
        <f t="shared" si="0"/>
        <v>4968000</v>
      </c>
      <c r="M54" s="16">
        <f>L54/表1[[#This Row],[RoseUpExp]]</f>
        <v>0.33119999999999999</v>
      </c>
      <c r="N54" s="16"/>
      <c r="O54" s="16">
        <f>L54/表1[[#This Row],[OffLinkExp]]</f>
        <v>1</v>
      </c>
      <c r="P54" s="16"/>
    </row>
    <row r="55" spans="1:16" s="5" customFormat="1" ht="20.100000000000001" customHeight="1" x14ac:dyDescent="0.15">
      <c r="A55" s="8">
        <v>50</v>
      </c>
      <c r="B55" s="6">
        <v>15600000</v>
      </c>
      <c r="C55" s="6">
        <v>3466670</v>
      </c>
      <c r="D55" s="6">
        <v>1180</v>
      </c>
      <c r="E55" s="6">
        <f t="shared" si="1"/>
        <v>1245</v>
      </c>
      <c r="F55" s="10">
        <v>5097600</v>
      </c>
      <c r="G55" s="14" t="s">
        <v>16</v>
      </c>
      <c r="I55" s="16">
        <f>表1[[#This Row],[RoseUpExp]]/表1[[#This Row],[RoseExpPro]]</f>
        <v>13220.338983050848</v>
      </c>
      <c r="J55" s="16">
        <v>3</v>
      </c>
      <c r="K55" s="16">
        <f>表1[[#This Row],[RoseExpPro]]*60*24</f>
        <v>1699200</v>
      </c>
      <c r="L55" s="16">
        <f t="shared" si="0"/>
        <v>5097600</v>
      </c>
      <c r="M55" s="16">
        <f>L55/表1[[#This Row],[RoseUpExp]]</f>
        <v>0.32676923076923076</v>
      </c>
      <c r="N55" s="16"/>
      <c r="O55" s="16">
        <f>L55/表1[[#This Row],[OffLinkExp]]</f>
        <v>1</v>
      </c>
      <c r="P55" s="16"/>
    </row>
    <row r="56" spans="1:16" s="5" customFormat="1" ht="20.100000000000001" customHeight="1" x14ac:dyDescent="0.15">
      <c r="A56" s="8">
        <v>51</v>
      </c>
      <c r="B56" s="6">
        <v>18500000</v>
      </c>
      <c r="C56" s="6">
        <v>3333330</v>
      </c>
      <c r="D56" s="6">
        <v>1210</v>
      </c>
      <c r="E56" s="6">
        <f t="shared" si="1"/>
        <v>1260</v>
      </c>
      <c r="F56" s="10">
        <v>5227200</v>
      </c>
      <c r="G56" s="14" t="s">
        <v>16</v>
      </c>
      <c r="I56" s="16">
        <f>表1[[#This Row],[RoseUpExp]]/表1[[#This Row],[RoseExpPro]]</f>
        <v>15289.256198347108</v>
      </c>
      <c r="J56" s="16">
        <v>3</v>
      </c>
      <c r="K56" s="16">
        <f>表1[[#This Row],[RoseExpPro]]*60*24</f>
        <v>1742400</v>
      </c>
      <c r="L56" s="16">
        <f t="shared" si="0"/>
        <v>5227200</v>
      </c>
      <c r="M56" s="16">
        <f>L56/表1[[#This Row],[RoseUpExp]]</f>
        <v>0.28255135135135134</v>
      </c>
      <c r="N56" s="16"/>
      <c r="O56" s="16">
        <f>L56/表1[[#This Row],[OffLinkExp]]</f>
        <v>1</v>
      </c>
      <c r="P56" s="16"/>
    </row>
    <row r="57" spans="1:16" s="5" customFormat="1" ht="20.100000000000001" customHeight="1" x14ac:dyDescent="0.15">
      <c r="A57" s="8">
        <v>52</v>
      </c>
      <c r="B57" s="6">
        <v>21700000</v>
      </c>
      <c r="C57" s="6">
        <v>3666670</v>
      </c>
      <c r="D57" s="6">
        <v>1240</v>
      </c>
      <c r="E57" s="6">
        <f t="shared" si="1"/>
        <v>1275</v>
      </c>
      <c r="F57" s="10">
        <v>5356800</v>
      </c>
      <c r="G57" s="14" t="s">
        <v>16</v>
      </c>
      <c r="I57" s="16">
        <f>表1[[#This Row],[RoseUpExp]]/表1[[#This Row],[RoseExpPro]]</f>
        <v>17500</v>
      </c>
      <c r="J57" s="16">
        <v>3</v>
      </c>
      <c r="K57" s="16">
        <f>表1[[#This Row],[RoseExpPro]]*60*24</f>
        <v>1785600</v>
      </c>
      <c r="L57" s="16">
        <f t="shared" si="0"/>
        <v>5356800</v>
      </c>
      <c r="M57" s="16">
        <f>L57/表1[[#This Row],[RoseUpExp]]</f>
        <v>0.24685714285714286</v>
      </c>
      <c r="N57" s="16"/>
      <c r="O57" s="16">
        <f>L57/表1[[#This Row],[OffLinkExp]]</f>
        <v>1</v>
      </c>
      <c r="P57" s="16"/>
    </row>
    <row r="58" spans="1:16" s="5" customFormat="1" ht="20.100000000000001" customHeight="1" x14ac:dyDescent="0.15">
      <c r="A58" s="8">
        <v>53</v>
      </c>
      <c r="B58" s="6">
        <v>25200000</v>
      </c>
      <c r="C58" s="6">
        <v>4000000</v>
      </c>
      <c r="D58" s="6">
        <v>1270</v>
      </c>
      <c r="E58" s="6">
        <f t="shared" si="1"/>
        <v>1290</v>
      </c>
      <c r="F58" s="10">
        <v>5486400</v>
      </c>
      <c r="G58" s="14" t="s">
        <v>16</v>
      </c>
      <c r="I58" s="16">
        <f>表1[[#This Row],[RoseUpExp]]/表1[[#This Row],[RoseExpPro]]</f>
        <v>19842.51968503937</v>
      </c>
      <c r="J58" s="16">
        <v>3</v>
      </c>
      <c r="K58" s="16">
        <f>表1[[#This Row],[RoseExpPro]]*60*24</f>
        <v>1828800</v>
      </c>
      <c r="L58" s="16">
        <f t="shared" si="0"/>
        <v>5486400</v>
      </c>
      <c r="M58" s="16">
        <f>L58/表1[[#This Row],[RoseUpExp]]</f>
        <v>0.21771428571428572</v>
      </c>
      <c r="N58" s="16"/>
      <c r="O58" s="16">
        <f>L58/表1[[#This Row],[OffLinkExp]]</f>
        <v>1</v>
      </c>
      <c r="P58" s="16"/>
    </row>
    <row r="59" spans="1:16" s="5" customFormat="1" ht="20.100000000000001" customHeight="1" x14ac:dyDescent="0.15">
      <c r="A59" s="8">
        <v>54</v>
      </c>
      <c r="B59" s="6">
        <v>29100000</v>
      </c>
      <c r="C59" s="6">
        <v>4333330</v>
      </c>
      <c r="D59" s="6">
        <v>1300</v>
      </c>
      <c r="E59" s="6">
        <f t="shared" si="1"/>
        <v>1305</v>
      </c>
      <c r="F59" s="10">
        <v>5616000</v>
      </c>
      <c r="G59" s="14" t="s">
        <v>16</v>
      </c>
      <c r="I59" s="16">
        <f>表1[[#This Row],[RoseUpExp]]/表1[[#This Row],[RoseExpPro]]</f>
        <v>22384.615384615383</v>
      </c>
      <c r="J59" s="16">
        <v>3</v>
      </c>
      <c r="K59" s="16">
        <f>表1[[#This Row],[RoseExpPro]]*60*24</f>
        <v>1872000</v>
      </c>
      <c r="L59" s="16">
        <f t="shared" si="0"/>
        <v>5616000</v>
      </c>
      <c r="M59" s="16">
        <f>L59/表1[[#This Row],[RoseUpExp]]</f>
        <v>0.19298969072164948</v>
      </c>
      <c r="N59" s="16"/>
      <c r="O59" s="16">
        <f>L59/表1[[#This Row],[OffLinkExp]]</f>
        <v>1</v>
      </c>
      <c r="P59" s="16"/>
    </row>
    <row r="60" spans="1:16" s="5" customFormat="1" ht="20.100000000000001" customHeight="1" x14ac:dyDescent="0.15">
      <c r="A60" s="8">
        <v>55</v>
      </c>
      <c r="B60" s="6">
        <v>33400000</v>
      </c>
      <c r="C60" s="6">
        <v>4666670</v>
      </c>
      <c r="D60" s="6">
        <v>1330</v>
      </c>
      <c r="E60" s="6">
        <f t="shared" si="1"/>
        <v>1320</v>
      </c>
      <c r="F60" s="10">
        <v>5745600</v>
      </c>
      <c r="G60" s="14" t="s">
        <v>16</v>
      </c>
      <c r="I60" s="16">
        <f>表1[[#This Row],[RoseUpExp]]/表1[[#This Row],[RoseExpPro]]</f>
        <v>25112.781954887218</v>
      </c>
      <c r="J60" s="16">
        <v>3</v>
      </c>
      <c r="K60" s="16">
        <f>表1[[#This Row],[RoseExpPro]]*60*24</f>
        <v>1915200</v>
      </c>
      <c r="L60" s="16">
        <f t="shared" si="0"/>
        <v>5745600</v>
      </c>
      <c r="M60" s="16">
        <f>L60/表1[[#This Row],[RoseUpExp]]</f>
        <v>0.1720239520958084</v>
      </c>
      <c r="N60" s="16"/>
      <c r="O60" s="16">
        <f>L60/表1[[#This Row],[OffLinkExp]]</f>
        <v>1</v>
      </c>
      <c r="P60" s="16"/>
    </row>
    <row r="61" spans="1:16" s="5" customFormat="1" ht="20.100000000000001" customHeight="1" x14ac:dyDescent="0.15">
      <c r="A61" s="8">
        <v>56</v>
      </c>
      <c r="B61" s="6">
        <v>38000000</v>
      </c>
      <c r="C61" s="6">
        <v>5000000</v>
      </c>
      <c r="D61" s="6">
        <v>1360</v>
      </c>
      <c r="E61" s="6">
        <f t="shared" si="1"/>
        <v>1335</v>
      </c>
      <c r="F61" s="10">
        <v>5875200</v>
      </c>
      <c r="G61" s="14" t="s">
        <v>16</v>
      </c>
      <c r="I61" s="16">
        <f>表1[[#This Row],[RoseUpExp]]/表1[[#This Row],[RoseExpPro]]</f>
        <v>27941.176470588234</v>
      </c>
      <c r="J61" s="16">
        <v>3</v>
      </c>
      <c r="K61" s="16">
        <f>表1[[#This Row],[RoseExpPro]]*60*24</f>
        <v>1958400</v>
      </c>
      <c r="L61" s="16">
        <f t="shared" si="0"/>
        <v>5875200</v>
      </c>
      <c r="M61" s="16">
        <f>L61/表1[[#This Row],[RoseUpExp]]</f>
        <v>0.15461052631578948</v>
      </c>
      <c r="N61" s="16"/>
      <c r="O61" s="16">
        <f>L61/表1[[#This Row],[OffLinkExp]]</f>
        <v>1</v>
      </c>
      <c r="P61" s="16"/>
    </row>
    <row r="62" spans="1:16" s="5" customFormat="1" ht="20.100000000000001" customHeight="1" x14ac:dyDescent="0.15">
      <c r="A62" s="8">
        <v>57</v>
      </c>
      <c r="B62" s="6">
        <v>42900000</v>
      </c>
      <c r="C62" s="6">
        <v>5333330</v>
      </c>
      <c r="D62" s="6">
        <v>1390</v>
      </c>
      <c r="E62" s="6">
        <f t="shared" si="1"/>
        <v>1350</v>
      </c>
      <c r="F62" s="10">
        <v>6004800</v>
      </c>
      <c r="G62" s="14" t="s">
        <v>16</v>
      </c>
      <c r="I62" s="16">
        <f>表1[[#This Row],[RoseUpExp]]/表1[[#This Row],[RoseExpPro]]</f>
        <v>30863.309352517987</v>
      </c>
      <c r="J62" s="16">
        <v>3</v>
      </c>
      <c r="K62" s="16">
        <f>表1[[#This Row],[RoseExpPro]]*60*24</f>
        <v>2001600</v>
      </c>
      <c r="L62" s="16">
        <f t="shared" si="0"/>
        <v>6004800</v>
      </c>
      <c r="M62" s="16">
        <f>L62/表1[[#This Row],[RoseUpExp]]</f>
        <v>0.13997202797202798</v>
      </c>
      <c r="N62" s="16"/>
      <c r="O62" s="16">
        <f>L62/表1[[#This Row],[OffLinkExp]]</f>
        <v>1</v>
      </c>
      <c r="P62" s="16"/>
    </row>
    <row r="63" spans="1:16" s="5" customFormat="1" ht="20.100000000000001" customHeight="1" x14ac:dyDescent="0.15">
      <c r="A63" s="8">
        <v>58</v>
      </c>
      <c r="B63" s="6">
        <v>48300000</v>
      </c>
      <c r="C63" s="6">
        <v>5666670</v>
      </c>
      <c r="D63" s="6">
        <v>1420</v>
      </c>
      <c r="E63" s="6">
        <f t="shared" si="1"/>
        <v>1365</v>
      </c>
      <c r="F63" s="10">
        <v>6134400</v>
      </c>
      <c r="G63" s="14" t="s">
        <v>16</v>
      </c>
      <c r="I63" s="16"/>
      <c r="J63" s="16"/>
      <c r="K63" s="16"/>
      <c r="L63" s="16"/>
      <c r="M63" s="16"/>
      <c r="N63" s="16"/>
      <c r="O63" s="16"/>
      <c r="P63" s="16"/>
    </row>
    <row r="64" spans="1:16" s="5" customFormat="1" ht="20.100000000000001" customHeight="1" x14ac:dyDescent="0.15">
      <c r="A64" s="8">
        <v>59</v>
      </c>
      <c r="B64" s="6">
        <v>63400000</v>
      </c>
      <c r="C64" s="6">
        <v>6000000</v>
      </c>
      <c r="D64" s="6">
        <v>1450</v>
      </c>
      <c r="E64" s="6">
        <f t="shared" si="1"/>
        <v>1380</v>
      </c>
      <c r="F64" s="10">
        <v>6264000</v>
      </c>
      <c r="G64" s="14" t="s">
        <v>16</v>
      </c>
      <c r="I64" s="16"/>
      <c r="J64" s="16"/>
      <c r="K64" s="16"/>
      <c r="L64" s="16"/>
      <c r="M64" s="16"/>
      <c r="N64" s="16"/>
      <c r="O64" s="16"/>
      <c r="P64" s="16"/>
    </row>
    <row r="65" spans="1:16" s="5" customFormat="1" ht="20.100000000000001" customHeight="1" x14ac:dyDescent="0.15">
      <c r="A65" s="8">
        <v>60</v>
      </c>
      <c r="B65" s="6">
        <v>93500000</v>
      </c>
      <c r="C65" s="6">
        <v>6333330</v>
      </c>
      <c r="D65" s="6">
        <v>1480</v>
      </c>
      <c r="E65" s="6">
        <f t="shared" si="1"/>
        <v>1395</v>
      </c>
      <c r="F65" s="10">
        <v>6393600</v>
      </c>
      <c r="G65" s="14" t="s">
        <v>16</v>
      </c>
      <c r="I65" s="16"/>
      <c r="J65" s="16"/>
      <c r="K65" s="16"/>
      <c r="L65" s="16"/>
      <c r="M65" s="16"/>
      <c r="N65" s="16"/>
      <c r="O65" s="16"/>
      <c r="P65" s="16"/>
    </row>
    <row r="66" spans="1:16" s="5" customFormat="1" ht="20.100000000000001" customHeight="1" x14ac:dyDescent="0.15">
      <c r="A66" s="8">
        <v>61</v>
      </c>
      <c r="B66" s="6">
        <v>139100000</v>
      </c>
      <c r="C66" s="6">
        <v>6666670</v>
      </c>
      <c r="D66" s="6">
        <v>1510</v>
      </c>
      <c r="E66" s="6">
        <f t="shared" si="1"/>
        <v>1410</v>
      </c>
      <c r="F66" s="10">
        <v>6523200</v>
      </c>
      <c r="G66" s="14" t="s">
        <v>16</v>
      </c>
      <c r="I66" s="16"/>
      <c r="J66" s="16"/>
      <c r="K66" s="16"/>
      <c r="L66" s="16"/>
      <c r="M66" s="16"/>
      <c r="N66" s="16"/>
      <c r="O66" s="16"/>
      <c r="P66" s="16"/>
    </row>
    <row r="67" spans="1:16" s="5" customFormat="1" ht="20.100000000000001" customHeight="1" x14ac:dyDescent="0.15">
      <c r="A67" s="8">
        <v>62</v>
      </c>
      <c r="B67" s="6">
        <v>200500000</v>
      </c>
      <c r="C67" s="6">
        <v>7000000</v>
      </c>
      <c r="D67" s="6">
        <v>1540</v>
      </c>
      <c r="E67" s="6">
        <f t="shared" si="1"/>
        <v>1425</v>
      </c>
      <c r="F67" s="10">
        <v>6652800</v>
      </c>
      <c r="G67" s="14" t="s">
        <v>16</v>
      </c>
      <c r="I67" s="16"/>
      <c r="J67" s="16"/>
      <c r="K67" s="16"/>
      <c r="L67" s="16"/>
      <c r="M67" s="16"/>
      <c r="N67" s="16"/>
      <c r="O67" s="16"/>
      <c r="P67" s="16"/>
    </row>
    <row r="68" spans="1:16" s="5" customFormat="1" ht="20.100000000000001" customHeight="1" x14ac:dyDescent="0.15">
      <c r="A68" s="8">
        <v>63</v>
      </c>
      <c r="B68" s="6">
        <v>278400000</v>
      </c>
      <c r="C68" s="6">
        <v>7333330</v>
      </c>
      <c r="D68" s="6">
        <v>1570</v>
      </c>
      <c r="E68" s="6">
        <f t="shared" si="1"/>
        <v>1440</v>
      </c>
      <c r="F68" s="10">
        <v>6782400</v>
      </c>
      <c r="G68" s="14" t="s">
        <v>16</v>
      </c>
      <c r="I68" s="16"/>
      <c r="J68" s="16"/>
      <c r="K68" s="16"/>
      <c r="L68" s="16"/>
      <c r="M68" s="16"/>
      <c r="N68" s="16"/>
      <c r="O68" s="16"/>
      <c r="P68" s="16"/>
    </row>
    <row r="69" spans="1:16" s="5" customFormat="1" ht="20.100000000000001" customHeight="1" x14ac:dyDescent="0.15">
      <c r="A69" s="8">
        <v>64</v>
      </c>
      <c r="B69" s="6">
        <v>373100000</v>
      </c>
      <c r="C69" s="6">
        <v>7666670</v>
      </c>
      <c r="D69" s="6">
        <v>1600</v>
      </c>
      <c r="E69" s="6">
        <f t="shared" si="1"/>
        <v>1455</v>
      </c>
      <c r="F69" s="10">
        <v>6912000</v>
      </c>
      <c r="G69" s="14" t="s">
        <v>16</v>
      </c>
      <c r="I69" s="16"/>
      <c r="J69" s="16"/>
      <c r="K69" s="16"/>
      <c r="L69" s="16"/>
      <c r="M69" s="16"/>
      <c r="N69" s="16"/>
      <c r="O69" s="16"/>
      <c r="P69" s="16"/>
    </row>
    <row r="70" spans="1:16" s="5" customFormat="1" ht="20.100000000000001" customHeight="1" x14ac:dyDescent="0.15">
      <c r="A70" s="8">
        <v>65</v>
      </c>
      <c r="B70" s="6">
        <v>485000000</v>
      </c>
      <c r="C70" s="6">
        <v>8000000</v>
      </c>
      <c r="D70" s="6">
        <v>1630</v>
      </c>
      <c r="E70" s="6">
        <f t="shared" si="1"/>
        <v>1470</v>
      </c>
      <c r="F70" s="10">
        <v>7041600</v>
      </c>
      <c r="G70" s="14" t="s">
        <v>16</v>
      </c>
      <c r="I70" s="16"/>
      <c r="J70" s="16"/>
      <c r="K70" s="16"/>
      <c r="L70" s="16"/>
      <c r="M70" s="16"/>
      <c r="N70" s="16"/>
      <c r="O70" s="16"/>
      <c r="P70" s="16"/>
    </row>
    <row r="71" spans="1:16" s="5" customFormat="1" ht="20.100000000000001" customHeight="1" x14ac:dyDescent="0.15">
      <c r="A71" s="8">
        <v>66</v>
      </c>
      <c r="B71" s="6">
        <v>466700000</v>
      </c>
      <c r="C71" s="6">
        <v>8333330</v>
      </c>
      <c r="D71" s="6">
        <v>1630</v>
      </c>
      <c r="E71" s="6">
        <f t="shared" si="1"/>
        <v>1485</v>
      </c>
      <c r="F71" s="10">
        <v>7041600</v>
      </c>
      <c r="G71" s="14" t="s">
        <v>17</v>
      </c>
      <c r="I71" s="16"/>
      <c r="J71" s="16"/>
      <c r="K71" s="16"/>
      <c r="L71" s="16"/>
      <c r="M71" s="16"/>
      <c r="N71" s="16"/>
      <c r="O71" s="16"/>
      <c r="P71" s="16"/>
    </row>
    <row r="72" spans="1:16" s="5" customFormat="1" ht="20.100000000000001" customHeight="1" x14ac:dyDescent="0.15">
      <c r="A72" s="8">
        <v>67</v>
      </c>
      <c r="B72" s="6">
        <v>580700000</v>
      </c>
      <c r="C72" s="6">
        <v>8666670</v>
      </c>
      <c r="D72" s="6">
        <v>1630</v>
      </c>
      <c r="E72" s="6">
        <f t="shared" ref="E72:E80" si="2">E71+15</f>
        <v>1500</v>
      </c>
      <c r="F72" s="10">
        <v>7041600</v>
      </c>
      <c r="G72" s="14" t="s">
        <v>18</v>
      </c>
      <c r="I72" s="16"/>
      <c r="J72" s="16"/>
      <c r="K72" s="16"/>
      <c r="L72" s="16"/>
      <c r="M72" s="16"/>
      <c r="N72" s="16"/>
      <c r="O72" s="16"/>
      <c r="P72" s="16"/>
    </row>
    <row r="73" spans="1:16" s="5" customFormat="1" ht="20.100000000000001" customHeight="1" x14ac:dyDescent="0.15">
      <c r="A73" s="8">
        <v>68</v>
      </c>
      <c r="B73" s="6">
        <v>709700000</v>
      </c>
      <c r="C73" s="6">
        <v>9000000</v>
      </c>
      <c r="D73" s="6">
        <v>1630</v>
      </c>
      <c r="E73" s="6">
        <f t="shared" si="2"/>
        <v>1515</v>
      </c>
      <c r="F73" s="10">
        <v>7041600</v>
      </c>
      <c r="G73" s="14" t="s">
        <v>19</v>
      </c>
      <c r="I73" s="16"/>
      <c r="J73" s="16"/>
      <c r="K73" s="16"/>
      <c r="L73" s="16"/>
      <c r="M73" s="16"/>
      <c r="N73" s="16"/>
      <c r="O73" s="16"/>
      <c r="P73" s="16"/>
    </row>
    <row r="74" spans="1:16" s="5" customFormat="1" ht="20.100000000000001" customHeight="1" x14ac:dyDescent="0.15">
      <c r="A74" s="8">
        <v>69</v>
      </c>
      <c r="B74" s="6">
        <v>841600000</v>
      </c>
      <c r="C74" s="6">
        <v>9333330</v>
      </c>
      <c r="D74" s="6">
        <v>1630</v>
      </c>
      <c r="E74" s="6">
        <f t="shared" si="2"/>
        <v>1530</v>
      </c>
      <c r="F74" s="10">
        <v>7041600</v>
      </c>
      <c r="G74" s="14" t="s">
        <v>20</v>
      </c>
      <c r="I74" s="16"/>
      <c r="J74" s="16"/>
      <c r="K74" s="16"/>
      <c r="L74" s="16"/>
      <c r="M74" s="16"/>
      <c r="N74" s="16"/>
      <c r="O74" s="16"/>
      <c r="P74" s="16"/>
    </row>
    <row r="75" spans="1:16" s="5" customFormat="1" ht="20.100000000000001" customHeight="1" x14ac:dyDescent="0.15">
      <c r="A75" s="9">
        <v>70</v>
      </c>
      <c r="B75" s="6">
        <v>976500000</v>
      </c>
      <c r="C75" s="6">
        <v>9666670</v>
      </c>
      <c r="D75" s="6">
        <v>1630</v>
      </c>
      <c r="E75" s="6">
        <f t="shared" si="2"/>
        <v>1545</v>
      </c>
      <c r="F75" s="10">
        <v>7041600</v>
      </c>
      <c r="G75" s="14" t="s">
        <v>20</v>
      </c>
      <c r="I75" s="16"/>
      <c r="J75" s="16"/>
      <c r="K75" s="16"/>
      <c r="L75" s="16"/>
      <c r="M75" s="16"/>
      <c r="N75" s="16"/>
      <c r="O75" s="16"/>
      <c r="P75" s="16"/>
    </row>
    <row r="76" spans="1:16" s="5" customFormat="1" ht="20.100000000000001" customHeight="1" x14ac:dyDescent="0.15">
      <c r="A76" s="8">
        <v>71</v>
      </c>
      <c r="B76" s="6">
        <v>1200000000</v>
      </c>
      <c r="C76" s="6">
        <f>ROUND(C75*1.2,-3)</f>
        <v>11600000</v>
      </c>
      <c r="D76" s="6">
        <v>1630</v>
      </c>
      <c r="E76" s="6">
        <f t="shared" si="2"/>
        <v>1560</v>
      </c>
      <c r="F76" s="10">
        <v>7041600</v>
      </c>
      <c r="G76" s="14" t="s">
        <v>20</v>
      </c>
      <c r="I76" s="16"/>
      <c r="J76" s="16"/>
      <c r="K76" s="16"/>
      <c r="L76" s="16"/>
      <c r="M76" s="16"/>
      <c r="N76" s="16"/>
      <c r="O76" s="16"/>
      <c r="P76" s="16"/>
    </row>
    <row r="77" spans="1:16" s="5" customFormat="1" ht="20.100000000000001" customHeight="1" x14ac:dyDescent="0.15">
      <c r="A77" s="9">
        <v>72</v>
      </c>
      <c r="B77" s="6">
        <f t="shared" ref="B77:B80" si="3">B76*1.5</f>
        <v>1800000000</v>
      </c>
      <c r="C77" s="6">
        <f t="shared" ref="C77:C80" si="4">ROUND(C76*1.2,-3)</f>
        <v>13920000</v>
      </c>
      <c r="D77" s="6">
        <v>1630</v>
      </c>
      <c r="E77" s="6">
        <f t="shared" si="2"/>
        <v>1575</v>
      </c>
      <c r="F77" s="10">
        <v>7041600</v>
      </c>
      <c r="G77" s="14" t="s">
        <v>20</v>
      </c>
      <c r="I77" s="16"/>
      <c r="J77" s="16"/>
      <c r="K77" s="16"/>
      <c r="L77" s="16"/>
      <c r="M77" s="16"/>
      <c r="N77" s="16"/>
      <c r="O77" s="16"/>
      <c r="P77" s="16"/>
    </row>
    <row r="78" spans="1:16" s="5" customFormat="1" ht="20.100000000000001" customHeight="1" x14ac:dyDescent="0.15">
      <c r="A78" s="8">
        <v>73</v>
      </c>
      <c r="B78" s="6">
        <f t="shared" si="3"/>
        <v>2700000000</v>
      </c>
      <c r="C78" s="6">
        <f t="shared" si="4"/>
        <v>16704000</v>
      </c>
      <c r="D78" s="6">
        <v>1630</v>
      </c>
      <c r="E78" s="6">
        <f t="shared" si="2"/>
        <v>1590</v>
      </c>
      <c r="F78" s="10">
        <v>7041600</v>
      </c>
      <c r="G78" s="14" t="s">
        <v>20</v>
      </c>
      <c r="I78" s="16"/>
      <c r="J78" s="16"/>
      <c r="K78" s="16"/>
      <c r="L78" s="16"/>
      <c r="M78" s="16"/>
      <c r="N78" s="16"/>
      <c r="O78" s="16"/>
      <c r="P78" s="16"/>
    </row>
    <row r="79" spans="1:16" s="5" customFormat="1" ht="20.100000000000001" customHeight="1" x14ac:dyDescent="0.15">
      <c r="A79" s="9">
        <v>74</v>
      </c>
      <c r="B79" s="6">
        <v>3600000000</v>
      </c>
      <c r="C79" s="6">
        <f t="shared" si="4"/>
        <v>20045000</v>
      </c>
      <c r="D79" s="6">
        <v>1630</v>
      </c>
      <c r="E79" s="6">
        <f t="shared" si="2"/>
        <v>1605</v>
      </c>
      <c r="F79" s="10">
        <v>7041600</v>
      </c>
      <c r="G79" s="14" t="s">
        <v>20</v>
      </c>
      <c r="I79" s="16"/>
      <c r="J79" s="16"/>
      <c r="K79" s="16"/>
      <c r="L79" s="16"/>
      <c r="M79" s="16"/>
      <c r="N79" s="16"/>
      <c r="O79" s="16"/>
      <c r="P79" s="16"/>
    </row>
    <row r="80" spans="1:16" s="5" customFormat="1" ht="20.100000000000001" customHeight="1" x14ac:dyDescent="0.15">
      <c r="A80" s="8">
        <v>75</v>
      </c>
      <c r="B80" s="6">
        <v>4500000000</v>
      </c>
      <c r="C80" s="6">
        <f t="shared" si="4"/>
        <v>24054000</v>
      </c>
      <c r="D80" s="18">
        <v>1630</v>
      </c>
      <c r="E80" s="18">
        <f t="shared" si="2"/>
        <v>1620</v>
      </c>
      <c r="F80" s="18">
        <v>7041600</v>
      </c>
      <c r="G80" s="19" t="s">
        <v>20</v>
      </c>
      <c r="I80" s="16"/>
      <c r="J80" s="16"/>
      <c r="K80" s="16"/>
      <c r="L80" s="16"/>
      <c r="M80" s="16"/>
      <c r="N80" s="16"/>
      <c r="O80" s="16"/>
      <c r="P80" s="16"/>
    </row>
    <row r="81" ht="20.100000000000001" customHeight="1" x14ac:dyDescent="0.15"/>
    <row r="82" ht="20.100000000000001" customHeight="1" x14ac:dyDescent="0.15"/>
    <row r="83" ht="20.100000000000001" customHeight="1" x14ac:dyDescent="0.15"/>
    <row r="84" ht="20.100000000000001" customHeight="1" x14ac:dyDescent="0.15"/>
    <row r="85" ht="20.100000000000001" customHeight="1" x14ac:dyDescent="0.15"/>
    <row r="86" ht="20.100000000000001" customHeight="1" x14ac:dyDescent="0.15"/>
    <row r="87" ht="20.100000000000001" customHeight="1" x14ac:dyDescent="0.15"/>
    <row r="88" ht="20.100000000000001" customHeight="1" x14ac:dyDescent="0.15"/>
    <row r="89" ht="20.100000000000001" customHeight="1" x14ac:dyDescent="0.15"/>
    <row r="90" ht="20.100000000000001" customHeight="1" x14ac:dyDescent="0.15"/>
    <row r="91" ht="20.100000000000001" customHeight="1" x14ac:dyDescent="0.15"/>
    <row r="92" ht="20.100000000000001" customHeight="1" x14ac:dyDescent="0.15"/>
    <row r="93" ht="20.100000000000001" customHeight="1" x14ac:dyDescent="0.15"/>
    <row r="94" ht="20.100000000000001" customHeight="1" x14ac:dyDescent="0.15"/>
    <row r="95" ht="20.100000000000001" customHeight="1" x14ac:dyDescent="0.15"/>
    <row r="96" ht="20.100000000000001" customHeight="1" x14ac:dyDescent="0.15"/>
    <row r="97" ht="20.100000000000001" customHeight="1" x14ac:dyDescent="0.15"/>
    <row r="98" ht="20.100000000000001" customHeight="1" x14ac:dyDescent="0.15"/>
    <row r="99" ht="20.100000000000001" customHeight="1" x14ac:dyDescent="0.15"/>
    <row r="100" ht="20.100000000000001" customHeight="1" x14ac:dyDescent="0.15"/>
    <row r="101" ht="20.100000000000001" customHeight="1" x14ac:dyDescent="0.15"/>
    <row r="102" ht="20.100000000000001" customHeight="1" x14ac:dyDescent="0.15"/>
    <row r="103" ht="20.100000000000001" customHeight="1" x14ac:dyDescent="0.15"/>
    <row r="104" ht="20.100000000000001" customHeight="1" x14ac:dyDescent="0.15"/>
    <row r="105" ht="20.100000000000001" customHeight="1" x14ac:dyDescent="0.15"/>
    <row r="106" ht="20.100000000000001" customHeight="1" x14ac:dyDescent="0.15"/>
    <row r="107" ht="20.100000000000001" customHeight="1" x14ac:dyDescent="0.15"/>
    <row r="108" ht="20.100000000000001" customHeight="1" x14ac:dyDescent="0.15"/>
    <row r="109" ht="20.100000000000001" customHeight="1" x14ac:dyDescent="0.15"/>
    <row r="110" ht="20.100000000000001" customHeight="1" x14ac:dyDescent="0.1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2026-04-28T11:14:04Z</dcterms:modified>
</cp:coreProperties>
</file>